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ivanurquiza/Desktop/Cowork/NOTA-Mora_Credit/"/>
    </mc:Choice>
  </mc:AlternateContent>
  <xr:revisionPtr revIDLastSave="0" documentId="13_ncr:1_{FFCDFD89-5639-1243-BAA2-2C97044AC43E}" xr6:coauthVersionLast="47" xr6:coauthVersionMax="47" xr10:uidLastSave="{00000000-0000-0000-0000-000000000000}"/>
  <bookViews>
    <workbookView xWindow="0" yWindow="740" windowWidth="29400" windowHeight="16680" activeTab="1" xr2:uid="{00000000-000D-0000-FFFF-FFFF00000000}"/>
  </bookViews>
  <sheets>
    <sheet name="Irregularidad BCRA" sheetId="1" r:id="rId1"/>
    <sheet name="Irregularidad agregada" sheetId="3" r:id="rId2"/>
    <sheet name="EMAE" sheetId="2" r:id="rId3"/>
    <sheet name="Crédito total-PIB" sheetId="4" r:id="rId4"/>
    <sheet name="Crédito total real" sheetId="5" r:id="rId5"/>
    <sheet name="Definiciones" sheetId="6" r:id="rId6"/>
    <sheet name="Fuentes" sheetId="7" r:id="rId7"/>
  </sheets>
  <definedNames>
    <definedName name="_xlnm._FilterDatabase" localSheetId="2" hidden="1">EMAE!$A$1:$R$74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3" l="1"/>
  <c r="C26" i="3"/>
  <c r="C3" i="3"/>
  <c r="F26" i="3"/>
  <c r="E26" i="3"/>
  <c r="G26" i="3" s="1"/>
  <c r="B26" i="3"/>
  <c r="F25" i="3"/>
  <c r="E25" i="3"/>
  <c r="G25" i="3" s="1"/>
  <c r="C25" i="3"/>
  <c r="B25" i="3"/>
  <c r="D25" i="3" s="1"/>
  <c r="F24" i="3"/>
  <c r="G24" i="3" s="1"/>
  <c r="E24" i="3"/>
  <c r="C24" i="3"/>
  <c r="B24" i="3"/>
  <c r="D24" i="3" s="1"/>
  <c r="F23" i="3"/>
  <c r="E23" i="3"/>
  <c r="G23" i="3" s="1"/>
  <c r="D23" i="3"/>
  <c r="C23" i="3"/>
  <c r="B23" i="3"/>
  <c r="G22" i="3"/>
  <c r="F22" i="3"/>
  <c r="E22" i="3"/>
  <c r="C22" i="3"/>
  <c r="B22" i="3"/>
  <c r="D22" i="3" s="1"/>
  <c r="F21" i="3"/>
  <c r="E21" i="3"/>
  <c r="G21" i="3" s="1"/>
  <c r="C21" i="3"/>
  <c r="B21" i="3"/>
  <c r="D21" i="3" s="1"/>
  <c r="F20" i="3"/>
  <c r="G20" i="3" s="1"/>
  <c r="E20" i="3"/>
  <c r="C20" i="3"/>
  <c r="B20" i="3"/>
  <c r="D20" i="3" s="1"/>
  <c r="F19" i="3"/>
  <c r="E19" i="3"/>
  <c r="G19" i="3" s="1"/>
  <c r="D19" i="3"/>
  <c r="C19" i="3"/>
  <c r="B19" i="3"/>
  <c r="G18" i="3"/>
  <c r="F18" i="3"/>
  <c r="E18" i="3"/>
  <c r="C18" i="3"/>
  <c r="B18" i="3"/>
  <c r="D18" i="3" s="1"/>
  <c r="F17" i="3"/>
  <c r="E17" i="3"/>
  <c r="G17" i="3" s="1"/>
  <c r="D17" i="3"/>
  <c r="C17" i="3"/>
  <c r="B17" i="3"/>
  <c r="F16" i="3"/>
  <c r="G16" i="3" s="1"/>
  <c r="E16" i="3"/>
  <c r="C16" i="3"/>
  <c r="B16" i="3"/>
  <c r="D16" i="3" s="1"/>
  <c r="F15" i="3"/>
  <c r="E15" i="3"/>
  <c r="G15" i="3" s="1"/>
  <c r="D15" i="3"/>
  <c r="C15" i="3"/>
  <c r="B15" i="3"/>
  <c r="G14" i="3"/>
  <c r="F14" i="3"/>
  <c r="E14" i="3"/>
  <c r="C14" i="3"/>
  <c r="B14" i="3"/>
  <c r="D14" i="3" s="1"/>
  <c r="F13" i="3"/>
  <c r="E13" i="3"/>
  <c r="G13" i="3" s="1"/>
  <c r="D13" i="3"/>
  <c r="C13" i="3"/>
  <c r="B13" i="3"/>
  <c r="F12" i="3"/>
  <c r="G12" i="3" s="1"/>
  <c r="E12" i="3"/>
  <c r="C12" i="3"/>
  <c r="B12" i="3"/>
  <c r="D12" i="3" s="1"/>
  <c r="F11" i="3"/>
  <c r="E11" i="3"/>
  <c r="G11" i="3" s="1"/>
  <c r="D11" i="3"/>
  <c r="C11" i="3"/>
  <c r="B11" i="3"/>
  <c r="F10" i="3"/>
  <c r="E10" i="3"/>
  <c r="G10" i="3" s="1"/>
  <c r="C10" i="3"/>
  <c r="B10" i="3"/>
  <c r="D10" i="3" s="1"/>
  <c r="F9" i="3"/>
  <c r="E9" i="3"/>
  <c r="G9" i="3" s="1"/>
  <c r="C9" i="3"/>
  <c r="D9" i="3" s="1"/>
  <c r="B9" i="3"/>
  <c r="F8" i="3"/>
  <c r="G8" i="3" s="1"/>
  <c r="E8" i="3"/>
  <c r="C8" i="3"/>
  <c r="B8" i="3"/>
  <c r="D8" i="3" s="1"/>
  <c r="G7" i="3"/>
  <c r="F7" i="3"/>
  <c r="E7" i="3"/>
  <c r="C7" i="3"/>
  <c r="D7" i="3" s="1"/>
  <c r="B7" i="3"/>
  <c r="F6" i="3"/>
  <c r="E6" i="3"/>
  <c r="G6" i="3" s="1"/>
  <c r="C6" i="3"/>
  <c r="B6" i="3"/>
  <c r="D6" i="3" s="1"/>
  <c r="F5" i="3"/>
  <c r="E5" i="3"/>
  <c r="G5" i="3" s="1"/>
  <c r="C5" i="3"/>
  <c r="D5" i="3" s="1"/>
  <c r="B5" i="3"/>
  <c r="F4" i="3"/>
  <c r="E4" i="3"/>
  <c r="G4" i="3" s="1"/>
  <c r="C4" i="3"/>
  <c r="B4" i="3"/>
  <c r="D4" i="3" s="1"/>
  <c r="G3" i="3"/>
  <c r="F3" i="3"/>
  <c r="E3" i="3"/>
  <c r="B3" i="3"/>
  <c r="D26" i="3" l="1"/>
</calcChain>
</file>

<file path=xl/sharedStrings.xml><?xml version="1.0" encoding="utf-8"?>
<sst xmlns="http://schemas.openxmlformats.org/spreadsheetml/2006/main" count="737" uniqueCount="115">
  <si>
    <t>Crédito a empresas</t>
  </si>
  <si>
    <t>Fecha</t>
  </si>
  <si>
    <t>Letra CLANAE</t>
  </si>
  <si>
    <t>Sector</t>
  </si>
  <si>
    <t>Préstamos totales</t>
  </si>
  <si>
    <t>Préstamos sit. Normal</t>
  </si>
  <si>
    <t>Irregularidad (%)</t>
  </si>
  <si>
    <t>A</t>
  </si>
  <si>
    <t>Agro</t>
  </si>
  <si>
    <t>B</t>
  </si>
  <si>
    <t>Pesca</t>
  </si>
  <si>
    <t>C</t>
  </si>
  <si>
    <t>Minería</t>
  </si>
  <si>
    <t>D</t>
  </si>
  <si>
    <t>Industria</t>
  </si>
  <si>
    <t>E</t>
  </si>
  <si>
    <t>Elect/Gas/Agua</t>
  </si>
  <si>
    <t>F</t>
  </si>
  <si>
    <t>Construcción</t>
  </si>
  <si>
    <t>G</t>
  </si>
  <si>
    <t>Comercio</t>
  </si>
  <si>
    <t>H</t>
  </si>
  <si>
    <t>Hoteles/Rest.</t>
  </si>
  <si>
    <t>I</t>
  </si>
  <si>
    <t>Transporte</t>
  </si>
  <si>
    <t>J</t>
  </si>
  <si>
    <t>Finanzas</t>
  </si>
  <si>
    <t>K</t>
  </si>
  <si>
    <t>Inmob./Empresas</t>
  </si>
  <si>
    <t>L</t>
  </si>
  <si>
    <t>Adm. Pública</t>
  </si>
  <si>
    <t>M+N</t>
  </si>
  <si>
    <t>Educ./Salud</t>
  </si>
  <si>
    <t>Año</t>
  </si>
  <si>
    <t>Mes</t>
  </si>
  <si>
    <t>M</t>
  </si>
  <si>
    <t>N</t>
  </si>
  <si>
    <t>Irreg. ponderada excl. L (%)</t>
  </si>
  <si>
    <t>Irreg. ponderada todos (%)</t>
  </si>
  <si>
    <t>Crédito al sector privado (por entidades financieras) prom. trim. (M ARS)</t>
  </si>
  <si>
    <t>PIB trim. anualizado (M ARS)</t>
  </si>
  <si>
    <t>Crédito/PIB (%)</t>
  </si>
  <si>
    <t>Crédito nominal (M ARS)</t>
  </si>
  <si>
    <t>CER promedio mensual</t>
  </si>
  <si>
    <t>Crédito real (M ARS, pesos Apr 2026)</t>
  </si>
  <si>
    <t>Concepto</t>
  </si>
  <si>
    <t>Definición</t>
  </si>
  <si>
    <t>Irregularidad (proxy)</t>
  </si>
  <si>
    <t>Sectores</t>
  </si>
  <si>
    <t>EMAE</t>
  </si>
  <si>
    <t>Variación interanual (YoY)</t>
  </si>
  <si>
    <t>Comparación del mismo trimestre contra el año anterior. Para EMAE (prom cuatrimestral): (EMAE_t / EMAE_{t-4} − 1) × 100. Para irregularidad: diferencia en pp (Irreg_t − Irreg_{t-4}).</t>
  </si>
  <si>
    <t>Crédito al sector privado</t>
  </si>
  <si>
    <t>Préstamos de efectivo, en moneda nacional y extranjera, otorgados por las entidades financieras (reguladas por Ley 21.526) al sector privado no financiero residente en el país. Saldos diarios en millones de ARS nominales. No incluye financiamiento vía mercado de capitales (ONs, fideicomisos financieros, leasing extrabancario, etc.). Fuente metodológica: https://www.bcra.gob.ar/principales-variables-datos/?serie=392</t>
  </si>
  <si>
    <t>CER (deflactor)</t>
  </si>
  <si>
    <t>Coeficiente de Estabilización de Referencia. Coeficiente diario calculado por el BCRA que sigue la variación del IPC. Se usa para deflactar series nominales. Ventaja vs IPC directo: es una serie continua sin quiebres de base.</t>
  </si>
  <si>
    <t>Crédito real</t>
  </si>
  <si>
    <t>Crédito / PIB</t>
  </si>
  <si>
    <t>Stock promedio trimestral de crédito / PIB trimestral a precios corrientes. El PIB de datos.gob.ar viene anualizado (SAAR), por lo que se usa directamente como denominador sin sumar 4 trimestres.</t>
  </si>
  <si>
    <t>Período de baja inclusión</t>
  </si>
  <si>
    <t>Q2 2021 a Q3 2023. Crédito/PIB estable en torno a 6-7%. Cartera concentrada en tomadores establecidos.</t>
  </si>
  <si>
    <t>Período de transición</t>
  </si>
  <si>
    <t>Q4 2023 a Q2 2024. Cambio de gobierno y fuerte inestabilidad macro. Excluido del análisis econométrico.</t>
  </si>
  <si>
    <t>Período de alta inclusión</t>
  </si>
  <si>
    <t>Desde Q3 2024. Crédito/PIB cambia su tendencia. Entrada masiva de nuevos tomadores al sistema y recomposición en la cafrtera de crédito de los bancos.</t>
  </si>
  <si>
    <t>Variable</t>
  </si>
  <si>
    <t>Fuente</t>
  </si>
  <si>
    <t>Descripción</t>
  </si>
  <si>
    <t>URL exacta</t>
  </si>
  <si>
    <t>Frecuencia</t>
  </si>
  <si>
    <t>Unidad</t>
  </si>
  <si>
    <t>Préstamos por actividad</t>
  </si>
  <si>
    <t>BCRA – Boletín Estadístico</t>
  </si>
  <si>
    <t>Saldos de préstamos por sector, total y situación normal.</t>
  </si>
  <si>
    <t>https://www.bcra.gob.ar/Pdfs/PublicacionesEstadisticas/act2025.xls</t>
  </si>
  <si>
    <t>Trimestral</t>
  </si>
  <si>
    <t>Miles de pesos</t>
  </si>
  <si>
    <t>EMAE por sector</t>
  </si>
  <si>
    <t>INDEC</t>
  </si>
  <si>
    <t>Estimador Mensual de Actividad Económica por letra sector</t>
  </si>
  <si>
    <t>https://www.indec.gob.ar/ftp/cuadros/economia/sh_emae_actividad_base2004.xls</t>
  </si>
  <si>
    <t>Mensual</t>
  </si>
  <si>
    <t>Índice base 2004=100</t>
  </si>
  <si>
    <t>EMAE general</t>
  </si>
  <si>
    <t>EMAE serie general mensual.</t>
  </si>
  <si>
    <t>https://www.indec.gob.ar/ftp/cuadros/economia/sh_emae_mensual_base2004.xls</t>
  </si>
  <si>
    <t>PIB a precios corrientes</t>
  </si>
  <si>
    <t>INDEC – Cuentas Nacionales (vía datos.gob.ar)</t>
  </si>
  <si>
    <t>PIB a precios de mercado, precios corrientes. Valores trimestrales anualizados.</t>
  </si>
  <si>
    <t>https://apis.datos.gob.ar/series/api/series/?ids=11.3_VMATC_2004_T_17&amp;format=csv</t>
  </si>
  <si>
    <t>Millones de pesos corrientes (anualizado)</t>
  </si>
  <si>
    <t>BCRA – API de Estadísticas,  Informe Monetario Diario</t>
  </si>
  <si>
    <t>Préstamos de las entidades financieras al sector privado, saldos diarios.</t>
  </si>
  <si>
    <t>https://api.bcra.gob.ar/estadisticas/v4.0/Monetarias/26?desde=2014-01-01&amp;hasta=2026-04-30</t>
  </si>
  <si>
    <t>Diaria</t>
  </si>
  <si>
    <t>Millones de pesos</t>
  </si>
  <si>
    <t>CER</t>
  </si>
  <si>
    <t>BCRA – API de Estadísticas</t>
  </si>
  <si>
    <t>Coeficiente de Estabilización de Referencia. Se construye a partir del IPC; sirve como deflactor continuo sin quiebres de base.</t>
  </si>
  <si>
    <t>https://api.bcra.gob.ar/estadisticas/v4.0/Monetarias/4?desde=2014-01-01&amp;hasta=2026-04-30</t>
  </si>
  <si>
    <t>Coeficiente (base feb 2002=1)</t>
  </si>
  <si>
    <t>Mora agregada del sistema</t>
  </si>
  <si>
    <t>BCRA – Series monetarias</t>
  </si>
  <si>
    <t>% de financiaciones al sector privado en situación normal.</t>
  </si>
  <si>
    <t>https://www.bcra.gob.ar/Pdfs/PublicacionesEstadisticas/din1_ser.txt</t>
  </si>
  <si>
    <t>Porcentaje</t>
  </si>
  <si>
    <t>Total (excl. L)</t>
  </si>
  <si>
    <t>Normal (excl. L)</t>
  </si>
  <si>
    <t>Total (todos)</t>
  </si>
  <si>
    <t>Normal (todos)</t>
  </si>
  <si>
    <t>Irregularidad agregada para sectores</t>
  </si>
  <si>
    <t>Crédito nominal deflactado por CER. Fórmula: Crédito_real = Crédito_nominal / CER_mes x CER_base, donde CER_base es el valor del último mes disponible. Resultado en pesos constantes del último mes.</t>
  </si>
  <si>
    <t>Irregularidad = (Préstamos totales − Préstamos en situación normal) / Préstamos totales x 100. Incluye situaciones 2 a 6 del BCRA. La definición oficial del BCRA (Informe sobre Bancos) usa sit. 3 a 6 solamente; nuestra medida es más amplia pero consistente para comparación entre sectores.</t>
  </si>
  <si>
    <t xml:space="preserve">Clasificación Nacional de Actividades Económicas. Match entre BCRA e INDEC (consta de 16 sectores). 13 sectores en los datos BCRA (Se promedian M+N para la variable de actividad), de los cuales usamos 12 (excluimos Administración Pública). </t>
  </si>
  <si>
    <t>Estimador Mensual de Actividad Económica. Índice de volumen físico base 2004=100, calculado por INDEC.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</si>
</sst>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yyyy\-mm\-dd\ h:mm:ss"/>
    <numFmt numFmtId="165" formatCode="_(* #,##0.000_);_(* \(#,##0.000\);_(* &quot;-&quot;??_);_(@_)"/>
    <numFmt numFmtId="166" formatCode="_(* #,##0_);_(* \(#,##0\);_(* &quot;-&quot;??_);_(@_)"/>
    <numFmt numFmtId="167" formatCode="_(* #,##0.000_);_(* \(#,##0.000\);_(* &quot;-&quot;???_);_(@_)"/>
    <numFmt numFmtId="168" formatCode="0.0"/>
  </numFmts>
  <fonts count="11" x14ac:knownFonts="1">
    <font>
      <sz val="11"/>
      <color theme="1"/>
      <name val="Calibri"/>
      <family val="2"/>
      <scheme val="minor"/>
    </font>
    <font>
      <b/>
      <sz val="11"/>
      <color rgb="FFFFFFFF"/>
      <name val="Calibri"/>
      <family val="2"/>
    </font>
    <font>
      <b/>
      <sz val="11"/>
      <name val="Calibri"/>
      <family val="2"/>
    </font>
    <font>
      <sz val="11"/>
      <color theme="1"/>
      <name val="Calibri"/>
      <family val="2"/>
      <scheme val="minor"/>
    </font>
    <font>
      <b/>
      <sz val="14"/>
      <color theme="1"/>
      <name val="Calibri"/>
      <family val="2"/>
      <scheme val="minor"/>
    </font>
    <font>
      <u/>
      <sz val="11"/>
      <color theme="10"/>
      <name val="Calibri"/>
      <family val="2"/>
      <scheme val="minor"/>
    </font>
    <font>
      <b/>
      <sz val="11"/>
      <name val="Calibri"/>
      <family val="2"/>
    </font>
    <font>
      <b/>
      <sz val="11"/>
      <color rgb="FFFFFFFF"/>
      <name val="Calibri"/>
      <family val="2"/>
    </font>
    <font>
      <b/>
      <sz val="12"/>
      <name val="Calibri"/>
      <family val="2"/>
    </font>
    <font>
      <b/>
      <sz val="11"/>
      <name val="Calibri"/>
    </font>
    <font>
      <i/>
      <sz val="9"/>
      <color rgb="FF666666"/>
      <name val="Calibri"/>
    </font>
  </fonts>
  <fills count="4">
    <fill>
      <patternFill patternType="none"/>
    </fill>
    <fill>
      <patternFill patternType="gray125"/>
    </fill>
    <fill>
      <patternFill patternType="solid">
        <fgColor rgb="FF1A5276"/>
      </patternFill>
    </fill>
    <fill>
      <patternFill patternType="solid">
        <fgColor theme="4" tint="0.79998168889431442"/>
        <bgColor indexed="64"/>
      </patternFill>
    </fill>
  </fills>
  <borders count="2">
    <border>
      <left/>
      <right/>
      <top/>
      <bottom/>
      <diagonal/>
    </border>
    <border>
      <left/>
      <right/>
      <top/>
      <bottom style="thin">
        <color rgb="FFCCCCCC"/>
      </bottom>
      <diagonal/>
    </border>
  </borders>
  <cellStyleXfs count="3">
    <xf numFmtId="0" fontId="0" fillId="0" borderId="0"/>
    <xf numFmtId="43" fontId="3" fillId="0" borderId="0"/>
    <xf numFmtId="0" fontId="5" fillId="0" borderId="0"/>
  </cellStyleXfs>
  <cellXfs count="40">
    <xf numFmtId="0" fontId="0" fillId="0" borderId="0" xfId="0"/>
    <xf numFmtId="0" fontId="1" fillId="2" borderId="0" xfId="0" applyFont="1" applyFill="1" applyAlignment="1">
      <alignment horizontal="center" wrapText="1"/>
    </xf>
    <xf numFmtId="164" fontId="0" fillId="0" borderId="1" xfId="0" applyNumberFormat="1" applyBorder="1" applyAlignment="1">
      <alignment horizontal="center"/>
    </xf>
    <xf numFmtId="0" fontId="0" fillId="0" borderId="1" xfId="0" applyBorder="1" applyAlignment="1">
      <alignment horizontal="center"/>
    </xf>
    <xf numFmtId="0" fontId="0" fillId="0" borderId="0" xfId="0" applyAlignment="1">
      <alignment vertical="top" wrapText="1"/>
    </xf>
    <xf numFmtId="0" fontId="2" fillId="0" borderId="0" xfId="0" applyFont="1" applyAlignment="1">
      <alignment vertical="top" wrapText="1"/>
    </xf>
    <xf numFmtId="14" fontId="1" fillId="2" borderId="0" xfId="0" applyNumberFormat="1" applyFont="1" applyFill="1" applyAlignment="1">
      <alignment horizontal="center" wrapText="1"/>
    </xf>
    <xf numFmtId="14" fontId="0" fillId="0" borderId="1" xfId="0" applyNumberFormat="1" applyBorder="1" applyAlignment="1">
      <alignment horizontal="center"/>
    </xf>
    <xf numFmtId="14" fontId="0" fillId="0" borderId="0" xfId="0" applyNumberFormat="1"/>
    <xf numFmtId="43" fontId="1" fillId="2" borderId="0" xfId="1" applyFont="1" applyFill="1" applyAlignment="1">
      <alignment horizontal="center" wrapText="1"/>
    </xf>
    <xf numFmtId="43" fontId="0" fillId="0" borderId="1" xfId="1" applyFont="1" applyBorder="1" applyAlignment="1">
      <alignment horizontal="center"/>
    </xf>
    <xf numFmtId="43" fontId="0" fillId="0" borderId="0" xfId="1" applyFont="1"/>
    <xf numFmtId="165" fontId="1" fillId="2" borderId="0" xfId="1" applyNumberFormat="1" applyFont="1" applyFill="1" applyAlignment="1">
      <alignment horizontal="center" wrapText="1"/>
    </xf>
    <xf numFmtId="165" fontId="0" fillId="0" borderId="1" xfId="1" applyNumberFormat="1" applyFont="1" applyBorder="1" applyAlignment="1">
      <alignment horizontal="center"/>
    </xf>
    <xf numFmtId="165" fontId="0" fillId="0" borderId="0" xfId="1" applyNumberFormat="1" applyFont="1"/>
    <xf numFmtId="166" fontId="1" fillId="2" borderId="0" xfId="1" applyNumberFormat="1" applyFont="1" applyFill="1" applyAlignment="1">
      <alignment horizontal="center" wrapText="1"/>
    </xf>
    <xf numFmtId="166" fontId="0" fillId="0" borderId="1" xfId="1" applyNumberFormat="1" applyFont="1" applyBorder="1" applyAlignment="1">
      <alignment horizontal="center"/>
    </xf>
    <xf numFmtId="166" fontId="0" fillId="0" borderId="0" xfId="1" applyNumberFormat="1" applyFont="1"/>
    <xf numFmtId="0" fontId="5" fillId="0" borderId="0" xfId="2" applyAlignment="1">
      <alignment vertical="top" wrapText="1"/>
    </xf>
    <xf numFmtId="0" fontId="2" fillId="3" borderId="0" xfId="0" applyFont="1" applyFill="1" applyAlignment="1">
      <alignment vertical="top" wrapText="1"/>
    </xf>
    <xf numFmtId="0" fontId="0" fillId="3" borderId="0" xfId="0" applyFill="1" applyAlignment="1">
      <alignment vertical="top" wrapText="1"/>
    </xf>
    <xf numFmtId="0" fontId="6" fillId="3" borderId="0" xfId="0" applyFont="1" applyFill="1" applyAlignment="1">
      <alignment vertical="top" wrapText="1"/>
    </xf>
    <xf numFmtId="167" fontId="0" fillId="0" borderId="0" xfId="0" applyNumberFormat="1"/>
    <xf numFmtId="166" fontId="7" fillId="2" borderId="0" xfId="1" applyNumberFormat="1" applyFont="1" applyFill="1" applyAlignment="1">
      <alignment horizontal="center" wrapText="1"/>
    </xf>
    <xf numFmtId="0" fontId="1" fillId="2" borderId="0" xfId="0" applyFont="1" applyFill="1" applyAlignment="1">
      <alignment horizontal="center" vertical="center" wrapText="1"/>
    </xf>
    <xf numFmtId="166" fontId="7" fillId="2" borderId="0" xfId="1" applyNumberFormat="1" applyFont="1" applyFill="1" applyAlignment="1">
      <alignment horizontal="center" vertical="center" wrapText="1"/>
    </xf>
    <xf numFmtId="166" fontId="1" fillId="2" borderId="0" xfId="1" applyNumberFormat="1" applyFont="1" applyFill="1" applyAlignment="1">
      <alignment horizontal="center" vertical="center" wrapText="1"/>
    </xf>
    <xf numFmtId="43" fontId="1" fillId="2" borderId="0" xfId="1" applyFont="1" applyFill="1" applyAlignment="1">
      <alignment horizontal="center" vertical="center" wrapText="1"/>
    </xf>
    <xf numFmtId="0" fontId="6" fillId="0" borderId="0" xfId="0" applyFont="1" applyAlignment="1">
      <alignment vertical="top" wrapText="1"/>
    </xf>
    <xf numFmtId="166" fontId="3" fillId="0" borderId="0" xfId="1" applyNumberFormat="1"/>
    <xf numFmtId="14" fontId="10" fillId="0" borderId="0" xfId="0" applyNumberFormat="1" applyFont="1"/>
    <xf numFmtId="168" fontId="0" fillId="0" borderId="0" xfId="0" applyNumberFormat="1"/>
    <xf numFmtId="14" fontId="9" fillId="0" borderId="0" xfId="0" applyNumberFormat="1" applyFont="1" applyAlignment="1">
      <alignment horizontal="center" vertical="center"/>
    </xf>
    <xf numFmtId="0" fontId="2" fillId="0" borderId="0" xfId="0" applyFont="1" applyAlignment="1">
      <alignment horizontal="center" vertical="center"/>
    </xf>
    <xf numFmtId="0" fontId="9" fillId="0" borderId="0" xfId="0" applyFont="1" applyAlignment="1">
      <alignment horizontal="center" vertical="center"/>
    </xf>
    <xf numFmtId="0" fontId="4" fillId="0" borderId="0" xfId="0" applyFont="1" applyAlignment="1">
      <alignment horizontal="center" vertical="center" wrapText="1"/>
    </xf>
    <xf numFmtId="0" fontId="0" fillId="0" borderId="0" xfId="0"/>
    <xf numFmtId="166" fontId="0" fillId="0" borderId="0" xfId="1" applyNumberFormat="1" applyFont="1"/>
    <xf numFmtId="43" fontId="0" fillId="0" borderId="0" xfId="1" applyFont="1"/>
    <xf numFmtId="14" fontId="8" fillId="0" borderId="0" xfId="0" applyNumberFormat="1" applyFont="1" applyAlignment="1">
      <alignment horizontal="center"/>
    </xf>
  </cellXfs>
  <cellStyles count="3">
    <cellStyle name="Comma" xfId="1" builtinId="3"/>
    <cellStyle name="Hyperlink" xfId="2"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3" Type="http://schemas.openxmlformats.org/officeDocument/2006/relationships/hyperlink" Target="https://www.indec.gob.ar/ftp/cuadros/economia/sh_emae_mensual_base2004.xls" TargetMode="External"/><Relationship Id="rId7" Type="http://schemas.openxmlformats.org/officeDocument/2006/relationships/hyperlink" Target="https://www.bcra.gob.ar/Pdfs/PublicacionesEstadisticas/din1_ser.txt" TargetMode="External"/><Relationship Id="rId2" Type="http://schemas.openxmlformats.org/officeDocument/2006/relationships/hyperlink" Target="https://www.indec.gob.ar/ftp/cuadros/economia/sh_emae_actividad_base2004.xls" TargetMode="External"/><Relationship Id="rId1" Type="http://schemas.openxmlformats.org/officeDocument/2006/relationships/hyperlink" Target="https://www.bcra.gob.ar/Pdfs/PublicacionesEstadisticas/act2025.xls" TargetMode="External"/><Relationship Id="rId6" Type="http://schemas.openxmlformats.org/officeDocument/2006/relationships/hyperlink" Target="https://api.bcra.gob.ar/estadisticas/v4.0/Monetarias/4?desde=2014-01-01&amp;hasta=2026-04-30" TargetMode="External"/><Relationship Id="rId5" Type="http://schemas.openxmlformats.org/officeDocument/2006/relationships/hyperlink" Target="https://api.bcra.gob.ar/estadisticas/v4.0/Monetarias/26?desde=2014-01-01&amp;hasta=2026-04-30" TargetMode="External"/><Relationship Id="rId4" Type="http://schemas.openxmlformats.org/officeDocument/2006/relationships/hyperlink" Target="https://apis.datos.gob.ar/series/api/series/?ids=11.3_VMATC_2004_T_17&amp;format=cs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4"/>
  <sheetViews>
    <sheetView workbookViewId="0">
      <selection activeCell="B8" sqref="B8"/>
    </sheetView>
  </sheetViews>
  <sheetFormatPr baseColWidth="10" defaultColWidth="8.83203125" defaultRowHeight="15" x14ac:dyDescent="0.2"/>
  <cols>
    <col min="1" max="1" width="21" style="8" customWidth="1"/>
    <col min="2" max="2" width="14" customWidth="1"/>
    <col min="3" max="3" width="17" customWidth="1"/>
    <col min="4" max="4" width="19" style="17" customWidth="1"/>
    <col min="5" max="5" width="23" style="17" customWidth="1"/>
    <col min="6" max="6" width="22" style="11" customWidth="1"/>
  </cols>
  <sheetData>
    <row r="1" spans="1:6" ht="24" customHeight="1" x14ac:dyDescent="0.2">
      <c r="A1" s="35" t="s">
        <v>0</v>
      </c>
      <c r="B1" s="36"/>
      <c r="C1" s="36"/>
      <c r="D1" s="37"/>
      <c r="E1" s="37"/>
      <c r="F1" s="38"/>
    </row>
    <row r="2" spans="1:6" ht="16" customHeight="1" x14ac:dyDescent="0.2">
      <c r="A2" s="6" t="s">
        <v>1</v>
      </c>
      <c r="B2" s="1" t="s">
        <v>2</v>
      </c>
      <c r="C2" s="1" t="s">
        <v>3</v>
      </c>
      <c r="D2" s="15" t="s">
        <v>4</v>
      </c>
      <c r="E2" s="23" t="s">
        <v>5</v>
      </c>
      <c r="F2" s="9" t="s">
        <v>6</v>
      </c>
    </row>
    <row r="3" spans="1:6" x14ac:dyDescent="0.2">
      <c r="A3" s="7">
        <v>43921</v>
      </c>
      <c r="B3" s="3" t="s">
        <v>7</v>
      </c>
      <c r="C3" s="3" t="s">
        <v>8</v>
      </c>
      <c r="D3" s="16">
        <v>280583840</v>
      </c>
      <c r="E3" s="16">
        <v>262359525</v>
      </c>
      <c r="F3" s="10">
        <v>6.4951406324754837</v>
      </c>
    </row>
    <row r="4" spans="1:6" x14ac:dyDescent="0.2">
      <c r="A4" s="7">
        <v>44012</v>
      </c>
      <c r="B4" s="3" t="s">
        <v>7</v>
      </c>
      <c r="C4" s="3" t="s">
        <v>8</v>
      </c>
      <c r="D4" s="16">
        <v>329181858</v>
      </c>
      <c r="E4" s="16">
        <v>311378236</v>
      </c>
      <c r="F4" s="10">
        <v>5.4084456865785118</v>
      </c>
    </row>
    <row r="5" spans="1:6" x14ac:dyDescent="0.2">
      <c r="A5" s="7">
        <v>44104</v>
      </c>
      <c r="B5" s="3" t="s">
        <v>7</v>
      </c>
      <c r="C5" s="3" t="s">
        <v>8</v>
      </c>
      <c r="D5" s="16">
        <v>360172298</v>
      </c>
      <c r="E5" s="16">
        <v>340772195</v>
      </c>
      <c r="F5" s="10">
        <v>5.3863395679586663</v>
      </c>
    </row>
    <row r="6" spans="1:6" x14ac:dyDescent="0.2">
      <c r="A6" s="7">
        <v>44196</v>
      </c>
      <c r="B6" s="3" t="s">
        <v>7</v>
      </c>
      <c r="C6" s="3" t="s">
        <v>8</v>
      </c>
      <c r="D6" s="16">
        <v>420635037</v>
      </c>
      <c r="E6" s="16">
        <v>400822867</v>
      </c>
      <c r="F6" s="10">
        <v>4.7100617536051814</v>
      </c>
    </row>
    <row r="7" spans="1:6" x14ac:dyDescent="0.2">
      <c r="A7" s="7">
        <v>44286</v>
      </c>
      <c r="B7" s="3" t="s">
        <v>7</v>
      </c>
      <c r="C7" s="3" t="s">
        <v>8</v>
      </c>
      <c r="D7" s="16">
        <v>408064939</v>
      </c>
      <c r="E7" s="16">
        <v>386435819</v>
      </c>
      <c r="F7" s="10">
        <v>5.3004112661587914</v>
      </c>
    </row>
    <row r="8" spans="1:6" x14ac:dyDescent="0.2">
      <c r="A8" s="7">
        <v>44377</v>
      </c>
      <c r="B8" s="3" t="s">
        <v>7</v>
      </c>
      <c r="C8" s="3" t="s">
        <v>8</v>
      </c>
      <c r="D8" s="16">
        <v>437089786</v>
      </c>
      <c r="E8" s="16">
        <v>410910846</v>
      </c>
      <c r="F8" s="10">
        <v>5.9893735425791901</v>
      </c>
    </row>
    <row r="9" spans="1:6" x14ac:dyDescent="0.2">
      <c r="A9" s="7">
        <v>44469</v>
      </c>
      <c r="B9" s="3" t="s">
        <v>7</v>
      </c>
      <c r="C9" s="3" t="s">
        <v>8</v>
      </c>
      <c r="D9" s="16">
        <v>465605151</v>
      </c>
      <c r="E9" s="16">
        <v>438097111</v>
      </c>
      <c r="F9" s="10">
        <v>5.9080188311748296</v>
      </c>
    </row>
    <row r="10" spans="1:6" x14ac:dyDescent="0.2">
      <c r="A10" s="7">
        <v>44561</v>
      </c>
      <c r="B10" s="3" t="s">
        <v>7</v>
      </c>
      <c r="C10" s="3" t="s">
        <v>8</v>
      </c>
      <c r="D10" s="16">
        <v>570294057</v>
      </c>
      <c r="E10" s="16">
        <v>539065176</v>
      </c>
      <c r="F10" s="10">
        <v>5.4759260800082297</v>
      </c>
    </row>
    <row r="11" spans="1:6" x14ac:dyDescent="0.2">
      <c r="A11" s="7">
        <v>44651</v>
      </c>
      <c r="B11" s="3" t="s">
        <v>7</v>
      </c>
      <c r="C11" s="3" t="s">
        <v>8</v>
      </c>
      <c r="D11" s="16">
        <v>628453156</v>
      </c>
      <c r="E11" s="16">
        <v>603355795</v>
      </c>
      <c r="F11" s="10">
        <v>3.99351340038461</v>
      </c>
    </row>
    <row r="12" spans="1:6" x14ac:dyDescent="0.2">
      <c r="A12" s="7">
        <v>44742</v>
      </c>
      <c r="B12" s="3" t="s">
        <v>7</v>
      </c>
      <c r="C12" s="3" t="s">
        <v>8</v>
      </c>
      <c r="D12" s="16">
        <v>757560760</v>
      </c>
      <c r="E12" s="16">
        <v>734475166</v>
      </c>
      <c r="F12" s="10">
        <v>3.0473587359514238</v>
      </c>
    </row>
    <row r="13" spans="1:6" x14ac:dyDescent="0.2">
      <c r="A13" s="7">
        <v>44834</v>
      </c>
      <c r="B13" s="3" t="s">
        <v>7</v>
      </c>
      <c r="C13" s="3" t="s">
        <v>8</v>
      </c>
      <c r="D13" s="16">
        <v>843899366</v>
      </c>
      <c r="E13" s="16">
        <v>818792752</v>
      </c>
      <c r="F13" s="10">
        <v>2.975072030093219</v>
      </c>
    </row>
    <row r="14" spans="1:6" x14ac:dyDescent="0.2">
      <c r="A14" s="7">
        <v>44926</v>
      </c>
      <c r="B14" s="3" t="s">
        <v>7</v>
      </c>
      <c r="C14" s="3" t="s">
        <v>8</v>
      </c>
      <c r="D14" s="16">
        <v>917062153</v>
      </c>
      <c r="E14" s="16">
        <v>886823976</v>
      </c>
      <c r="F14" s="10">
        <v>3.2972876376024649</v>
      </c>
    </row>
    <row r="15" spans="1:6" x14ac:dyDescent="0.2">
      <c r="A15" s="7">
        <v>45016</v>
      </c>
      <c r="B15" s="3" t="s">
        <v>7</v>
      </c>
      <c r="C15" s="3" t="s">
        <v>8</v>
      </c>
      <c r="D15" s="16">
        <v>1096818183</v>
      </c>
      <c r="E15" s="16">
        <v>1061338704</v>
      </c>
      <c r="F15" s="10">
        <v>3.2347639335224261</v>
      </c>
    </row>
    <row r="16" spans="1:6" x14ac:dyDescent="0.2">
      <c r="A16" s="7">
        <v>45107</v>
      </c>
      <c r="B16" s="3" t="s">
        <v>7</v>
      </c>
      <c r="C16" s="3" t="s">
        <v>8</v>
      </c>
      <c r="D16" s="16">
        <v>1374638496</v>
      </c>
      <c r="E16" s="16">
        <v>1324333968</v>
      </c>
      <c r="F16" s="10">
        <v>3.659473246702964</v>
      </c>
    </row>
    <row r="17" spans="1:6" x14ac:dyDescent="0.2">
      <c r="A17" s="7">
        <v>45199</v>
      </c>
      <c r="B17" s="3" t="s">
        <v>7</v>
      </c>
      <c r="C17" s="3" t="s">
        <v>8</v>
      </c>
      <c r="D17" s="16">
        <v>1752472404</v>
      </c>
      <c r="E17" s="16">
        <v>1686892375</v>
      </c>
      <c r="F17" s="10">
        <v>3.7421433199355532</v>
      </c>
    </row>
    <row r="18" spans="1:6" x14ac:dyDescent="0.2">
      <c r="A18" s="7">
        <v>45291</v>
      </c>
      <c r="B18" s="3" t="s">
        <v>7</v>
      </c>
      <c r="C18" s="3" t="s">
        <v>8</v>
      </c>
      <c r="D18" s="16">
        <v>2276260858</v>
      </c>
      <c r="E18" s="16">
        <v>2186816376</v>
      </c>
      <c r="F18" s="10">
        <v>3.9294477909086809</v>
      </c>
    </row>
    <row r="19" spans="1:6" x14ac:dyDescent="0.2">
      <c r="A19" s="7">
        <v>45382</v>
      </c>
      <c r="B19" s="3" t="s">
        <v>7</v>
      </c>
      <c r="C19" s="3" t="s">
        <v>8</v>
      </c>
      <c r="D19" s="16">
        <v>2681671006</v>
      </c>
      <c r="E19" s="16">
        <v>2588942635</v>
      </c>
      <c r="F19" s="10">
        <v>3.4578578353768421</v>
      </c>
    </row>
    <row r="20" spans="1:6" x14ac:dyDescent="0.2">
      <c r="A20" s="7">
        <v>45473</v>
      </c>
      <c r="B20" s="3" t="s">
        <v>7</v>
      </c>
      <c r="C20" s="3" t="s">
        <v>8</v>
      </c>
      <c r="D20" s="16">
        <v>3677527475</v>
      </c>
      <c r="E20" s="16">
        <v>3576905178</v>
      </c>
      <c r="F20" s="10">
        <v>2.7361399115039919</v>
      </c>
    </row>
    <row r="21" spans="1:6" x14ac:dyDescent="0.2">
      <c r="A21" s="7">
        <v>45565</v>
      </c>
      <c r="B21" s="3" t="s">
        <v>7</v>
      </c>
      <c r="C21" s="3" t="s">
        <v>8</v>
      </c>
      <c r="D21" s="16">
        <v>5567749521</v>
      </c>
      <c r="E21" s="16">
        <v>5455488520</v>
      </c>
      <c r="F21" s="10">
        <v>2.0162724737631019</v>
      </c>
    </row>
    <row r="22" spans="1:6" x14ac:dyDescent="0.2">
      <c r="A22" s="7">
        <v>45657</v>
      </c>
      <c r="B22" s="3" t="s">
        <v>7</v>
      </c>
      <c r="C22" s="3" t="s">
        <v>8</v>
      </c>
      <c r="D22" s="16">
        <v>6807885390</v>
      </c>
      <c r="E22" s="16">
        <v>6671311235</v>
      </c>
      <c r="F22" s="10">
        <v>2.006117130006503</v>
      </c>
    </row>
    <row r="23" spans="1:6" x14ac:dyDescent="0.2">
      <c r="A23" s="7">
        <v>45747</v>
      </c>
      <c r="B23" s="3" t="s">
        <v>7</v>
      </c>
      <c r="C23" s="3" t="s">
        <v>8</v>
      </c>
      <c r="D23" s="16">
        <v>8332468412</v>
      </c>
      <c r="E23" s="16">
        <v>8162106448</v>
      </c>
      <c r="F23" s="10">
        <v>2.0445557735886921</v>
      </c>
    </row>
    <row r="24" spans="1:6" x14ac:dyDescent="0.2">
      <c r="A24" s="7">
        <v>45838</v>
      </c>
      <c r="B24" s="3" t="s">
        <v>7</v>
      </c>
      <c r="C24" s="3" t="s">
        <v>8</v>
      </c>
      <c r="D24" s="16">
        <v>10006119791</v>
      </c>
      <c r="E24" s="16">
        <v>9761135038</v>
      </c>
      <c r="F24" s="10">
        <v>2.4483491914653208</v>
      </c>
    </row>
    <row r="25" spans="1:6" x14ac:dyDescent="0.2">
      <c r="A25" s="7">
        <v>45930</v>
      </c>
      <c r="B25" s="3" t="s">
        <v>7</v>
      </c>
      <c r="C25" s="3" t="s">
        <v>8</v>
      </c>
      <c r="D25" s="16">
        <v>11494903700</v>
      </c>
      <c r="E25" s="16">
        <v>11047879168</v>
      </c>
      <c r="F25" s="10">
        <v>3.8888932318763141</v>
      </c>
    </row>
    <row r="26" spans="1:6" x14ac:dyDescent="0.2">
      <c r="A26" s="7">
        <v>46022</v>
      </c>
      <c r="B26" s="3" t="s">
        <v>7</v>
      </c>
      <c r="C26" s="3" t="s">
        <v>8</v>
      </c>
      <c r="D26" s="16">
        <v>12910799604</v>
      </c>
      <c r="E26" s="16">
        <v>12426040594</v>
      </c>
      <c r="F26" s="10">
        <v>3.7546784464829961</v>
      </c>
    </row>
    <row r="27" spans="1:6" x14ac:dyDescent="0.2">
      <c r="A27" s="7">
        <v>43921</v>
      </c>
      <c r="B27" s="3" t="s">
        <v>9</v>
      </c>
      <c r="C27" s="3" t="s">
        <v>10</v>
      </c>
      <c r="D27" s="16">
        <v>2609712</v>
      </c>
      <c r="E27" s="16">
        <v>2484279</v>
      </c>
      <c r="F27" s="10">
        <v>4.8063924295094633</v>
      </c>
    </row>
    <row r="28" spans="1:6" x14ac:dyDescent="0.2">
      <c r="A28" s="7">
        <v>44012</v>
      </c>
      <c r="B28" s="3" t="s">
        <v>9</v>
      </c>
      <c r="C28" s="3" t="s">
        <v>10</v>
      </c>
      <c r="D28" s="16">
        <v>3252893</v>
      </c>
      <c r="E28" s="16">
        <v>3109012</v>
      </c>
      <c r="F28" s="10">
        <v>4.423170390172686</v>
      </c>
    </row>
    <row r="29" spans="1:6" x14ac:dyDescent="0.2">
      <c r="A29" s="7">
        <v>44104</v>
      </c>
      <c r="B29" s="3" t="s">
        <v>9</v>
      </c>
      <c r="C29" s="3" t="s">
        <v>10</v>
      </c>
      <c r="D29" s="16">
        <v>3541438</v>
      </c>
      <c r="E29" s="16">
        <v>3429401</v>
      </c>
      <c r="F29" s="10">
        <v>3.1636019040852901</v>
      </c>
    </row>
    <row r="30" spans="1:6" x14ac:dyDescent="0.2">
      <c r="A30" s="7">
        <v>44196</v>
      </c>
      <c r="B30" s="3" t="s">
        <v>9</v>
      </c>
      <c r="C30" s="3" t="s">
        <v>10</v>
      </c>
      <c r="D30" s="16">
        <v>3522086</v>
      </c>
      <c r="E30" s="16">
        <v>3414572</v>
      </c>
      <c r="F30" s="10">
        <v>3.052566007757902</v>
      </c>
    </row>
    <row r="31" spans="1:6" x14ac:dyDescent="0.2">
      <c r="A31" s="7">
        <v>44286</v>
      </c>
      <c r="B31" s="3" t="s">
        <v>9</v>
      </c>
      <c r="C31" s="3" t="s">
        <v>10</v>
      </c>
      <c r="D31" s="16">
        <v>3610906</v>
      </c>
      <c r="E31" s="16">
        <v>3505598</v>
      </c>
      <c r="F31" s="10">
        <v>2.916387189253888</v>
      </c>
    </row>
    <row r="32" spans="1:6" x14ac:dyDescent="0.2">
      <c r="A32" s="7">
        <v>44377</v>
      </c>
      <c r="B32" s="3" t="s">
        <v>9</v>
      </c>
      <c r="C32" s="3" t="s">
        <v>10</v>
      </c>
      <c r="D32" s="16">
        <v>4380736</v>
      </c>
      <c r="E32" s="16">
        <v>3982677</v>
      </c>
      <c r="F32" s="10">
        <v>9.0865781457727657</v>
      </c>
    </row>
    <row r="33" spans="1:6" x14ac:dyDescent="0.2">
      <c r="A33" s="7">
        <v>44469</v>
      </c>
      <c r="B33" s="3" t="s">
        <v>9</v>
      </c>
      <c r="C33" s="3" t="s">
        <v>10</v>
      </c>
      <c r="D33" s="16">
        <v>3768977</v>
      </c>
      <c r="E33" s="16">
        <v>3644824</v>
      </c>
      <c r="F33" s="10">
        <v>3.2940768808087708</v>
      </c>
    </row>
    <row r="34" spans="1:6" x14ac:dyDescent="0.2">
      <c r="A34" s="7">
        <v>44561</v>
      </c>
      <c r="B34" s="3" t="s">
        <v>9</v>
      </c>
      <c r="C34" s="3" t="s">
        <v>10</v>
      </c>
      <c r="D34" s="16">
        <v>3249332</v>
      </c>
      <c r="E34" s="16">
        <v>3160439</v>
      </c>
      <c r="F34" s="10">
        <v>2.7357315288188468</v>
      </c>
    </row>
    <row r="35" spans="1:6" x14ac:dyDescent="0.2">
      <c r="A35" s="7">
        <v>44651</v>
      </c>
      <c r="B35" s="3" t="s">
        <v>9</v>
      </c>
      <c r="C35" s="3" t="s">
        <v>10</v>
      </c>
      <c r="D35" s="16">
        <v>3959075</v>
      </c>
      <c r="E35" s="16">
        <v>3837493</v>
      </c>
      <c r="F35" s="10">
        <v>3.070969860384055</v>
      </c>
    </row>
    <row r="36" spans="1:6" x14ac:dyDescent="0.2">
      <c r="A36" s="7">
        <v>44742</v>
      </c>
      <c r="B36" s="3" t="s">
        <v>9</v>
      </c>
      <c r="C36" s="3" t="s">
        <v>10</v>
      </c>
      <c r="D36" s="16">
        <v>5551525</v>
      </c>
      <c r="E36" s="16">
        <v>5430713</v>
      </c>
      <c r="F36" s="10">
        <v>2.176194829348693</v>
      </c>
    </row>
    <row r="37" spans="1:6" x14ac:dyDescent="0.2">
      <c r="A37" s="7">
        <v>44834</v>
      </c>
      <c r="B37" s="3" t="s">
        <v>9</v>
      </c>
      <c r="C37" s="3" t="s">
        <v>10</v>
      </c>
      <c r="D37" s="16">
        <v>7063960</v>
      </c>
      <c r="E37" s="16">
        <v>6876082</v>
      </c>
      <c r="F37" s="10">
        <v>2.659669647053494</v>
      </c>
    </row>
    <row r="38" spans="1:6" x14ac:dyDescent="0.2">
      <c r="A38" s="7">
        <v>44926</v>
      </c>
      <c r="B38" s="3" t="s">
        <v>9</v>
      </c>
      <c r="C38" s="3" t="s">
        <v>10</v>
      </c>
      <c r="D38" s="16">
        <v>6705439</v>
      </c>
      <c r="E38" s="16">
        <v>6521183</v>
      </c>
      <c r="F38" s="10">
        <v>2.7478588650198739</v>
      </c>
    </row>
    <row r="39" spans="1:6" x14ac:dyDescent="0.2">
      <c r="A39" s="7">
        <v>45016</v>
      </c>
      <c r="B39" s="3" t="s">
        <v>9</v>
      </c>
      <c r="C39" s="3" t="s">
        <v>10</v>
      </c>
      <c r="D39" s="16">
        <v>7904067</v>
      </c>
      <c r="E39" s="16">
        <v>7640675</v>
      </c>
      <c r="F39" s="10">
        <v>3.3323604164792631</v>
      </c>
    </row>
    <row r="40" spans="1:6" x14ac:dyDescent="0.2">
      <c r="A40" s="7">
        <v>45107</v>
      </c>
      <c r="B40" s="3" t="s">
        <v>9</v>
      </c>
      <c r="C40" s="3" t="s">
        <v>10</v>
      </c>
      <c r="D40" s="16">
        <v>8217632</v>
      </c>
      <c r="E40" s="16">
        <v>7575841</v>
      </c>
      <c r="F40" s="10">
        <v>7.8099262658634512</v>
      </c>
    </row>
    <row r="41" spans="1:6" x14ac:dyDescent="0.2">
      <c r="A41" s="7">
        <v>45199</v>
      </c>
      <c r="B41" s="3" t="s">
        <v>9</v>
      </c>
      <c r="C41" s="3" t="s">
        <v>10</v>
      </c>
      <c r="D41" s="16">
        <v>10362644</v>
      </c>
      <c r="E41" s="16">
        <v>9907005</v>
      </c>
      <c r="F41" s="10">
        <v>4.3969376927355608</v>
      </c>
    </row>
    <row r="42" spans="1:6" x14ac:dyDescent="0.2">
      <c r="A42" s="7">
        <v>45291</v>
      </c>
      <c r="B42" s="3" t="s">
        <v>9</v>
      </c>
      <c r="C42" s="3" t="s">
        <v>10</v>
      </c>
      <c r="D42" s="16">
        <v>20151964</v>
      </c>
      <c r="E42" s="16">
        <v>19448175</v>
      </c>
      <c r="F42" s="10">
        <v>3.4924089781025809</v>
      </c>
    </row>
    <row r="43" spans="1:6" x14ac:dyDescent="0.2">
      <c r="A43" s="7">
        <v>45382</v>
      </c>
      <c r="B43" s="3" t="s">
        <v>9</v>
      </c>
      <c r="C43" s="3" t="s">
        <v>10</v>
      </c>
      <c r="D43" s="16">
        <v>28294317</v>
      </c>
      <c r="E43" s="16">
        <v>27784136</v>
      </c>
      <c r="F43" s="10">
        <v>1.8031218071105941</v>
      </c>
    </row>
    <row r="44" spans="1:6" x14ac:dyDescent="0.2">
      <c r="A44" s="7">
        <v>45473</v>
      </c>
      <c r="B44" s="3" t="s">
        <v>9</v>
      </c>
      <c r="C44" s="3" t="s">
        <v>10</v>
      </c>
      <c r="D44" s="16">
        <v>58316176</v>
      </c>
      <c r="E44" s="16">
        <v>57257312</v>
      </c>
      <c r="F44" s="10">
        <v>1.8157294813020659</v>
      </c>
    </row>
    <row r="45" spans="1:6" x14ac:dyDescent="0.2">
      <c r="A45" s="7">
        <v>45565</v>
      </c>
      <c r="B45" s="3" t="s">
        <v>9</v>
      </c>
      <c r="C45" s="3" t="s">
        <v>10</v>
      </c>
      <c r="D45" s="16">
        <v>71340560</v>
      </c>
      <c r="E45" s="16">
        <v>69334604</v>
      </c>
      <c r="F45" s="10">
        <v>2.8118029911736042</v>
      </c>
    </row>
    <row r="46" spans="1:6" x14ac:dyDescent="0.2">
      <c r="A46" s="7">
        <v>45657</v>
      </c>
      <c r="B46" s="3" t="s">
        <v>9</v>
      </c>
      <c r="C46" s="3" t="s">
        <v>10</v>
      </c>
      <c r="D46" s="16">
        <v>83560553</v>
      </c>
      <c r="E46" s="16">
        <v>83085983</v>
      </c>
      <c r="F46" s="10">
        <v>0.56793544676517393</v>
      </c>
    </row>
    <row r="47" spans="1:6" x14ac:dyDescent="0.2">
      <c r="A47" s="7">
        <v>45747</v>
      </c>
      <c r="B47" s="3" t="s">
        <v>9</v>
      </c>
      <c r="C47" s="3" t="s">
        <v>10</v>
      </c>
      <c r="D47" s="16">
        <v>98863160</v>
      </c>
      <c r="E47" s="16">
        <v>97116169</v>
      </c>
      <c r="F47" s="10">
        <v>1.7670798708032389</v>
      </c>
    </row>
    <row r="48" spans="1:6" x14ac:dyDescent="0.2">
      <c r="A48" s="7">
        <v>45838</v>
      </c>
      <c r="B48" s="3" t="s">
        <v>9</v>
      </c>
      <c r="C48" s="3" t="s">
        <v>10</v>
      </c>
      <c r="D48" s="16">
        <v>105371200</v>
      </c>
      <c r="E48" s="16">
        <v>98644448</v>
      </c>
      <c r="F48" s="10">
        <v>6.3838620040390541</v>
      </c>
    </row>
    <row r="49" spans="1:6" x14ac:dyDescent="0.2">
      <c r="A49" s="7">
        <v>45930</v>
      </c>
      <c r="B49" s="3" t="s">
        <v>9</v>
      </c>
      <c r="C49" s="3" t="s">
        <v>10</v>
      </c>
      <c r="D49" s="16">
        <v>110473963</v>
      </c>
      <c r="E49" s="16">
        <v>101371098</v>
      </c>
      <c r="F49" s="10">
        <v>8.2398284200232776</v>
      </c>
    </row>
    <row r="50" spans="1:6" x14ac:dyDescent="0.2">
      <c r="A50" s="7">
        <v>46022</v>
      </c>
      <c r="B50" s="3" t="s">
        <v>9</v>
      </c>
      <c r="C50" s="3" t="s">
        <v>10</v>
      </c>
      <c r="D50" s="16">
        <v>121577601</v>
      </c>
      <c r="E50" s="16">
        <v>111507562</v>
      </c>
      <c r="F50" s="10">
        <v>8.2828077846346044</v>
      </c>
    </row>
    <row r="51" spans="1:6" x14ac:dyDescent="0.2">
      <c r="A51" s="7">
        <v>43921</v>
      </c>
      <c r="B51" s="3" t="s">
        <v>11</v>
      </c>
      <c r="C51" s="3" t="s">
        <v>12</v>
      </c>
      <c r="D51" s="16">
        <v>132820739</v>
      </c>
      <c r="E51" s="16">
        <v>130281568</v>
      </c>
      <c r="F51" s="10">
        <v>1.9117278063029</v>
      </c>
    </row>
    <row r="52" spans="1:6" x14ac:dyDescent="0.2">
      <c r="A52" s="7">
        <v>44012</v>
      </c>
      <c r="B52" s="3" t="s">
        <v>11</v>
      </c>
      <c r="C52" s="3" t="s">
        <v>12</v>
      </c>
      <c r="D52" s="16">
        <v>144753426</v>
      </c>
      <c r="E52" s="16">
        <v>139852287</v>
      </c>
      <c r="F52" s="10">
        <v>3.3858535410415782</v>
      </c>
    </row>
    <row r="53" spans="1:6" x14ac:dyDescent="0.2">
      <c r="A53" s="7">
        <v>44104</v>
      </c>
      <c r="B53" s="3" t="s">
        <v>11</v>
      </c>
      <c r="C53" s="3" t="s">
        <v>12</v>
      </c>
      <c r="D53" s="16">
        <v>146983834</v>
      </c>
      <c r="E53" s="16">
        <v>140846458</v>
      </c>
      <c r="F53" s="10">
        <v>4.1755449106056117</v>
      </c>
    </row>
    <row r="54" spans="1:6" x14ac:dyDescent="0.2">
      <c r="A54" s="7">
        <v>44196</v>
      </c>
      <c r="B54" s="3" t="s">
        <v>11</v>
      </c>
      <c r="C54" s="3" t="s">
        <v>12</v>
      </c>
      <c r="D54" s="16">
        <v>151117348</v>
      </c>
      <c r="E54" s="16">
        <v>142808259</v>
      </c>
      <c r="F54" s="10">
        <v>5.4984348984207951</v>
      </c>
    </row>
    <row r="55" spans="1:6" x14ac:dyDescent="0.2">
      <c r="A55" s="7">
        <v>44286</v>
      </c>
      <c r="B55" s="3" t="s">
        <v>11</v>
      </c>
      <c r="C55" s="3" t="s">
        <v>12</v>
      </c>
      <c r="D55" s="16">
        <v>147087946</v>
      </c>
      <c r="E55" s="16">
        <v>136972387</v>
      </c>
      <c r="F55" s="10">
        <v>6.8772182052226087</v>
      </c>
    </row>
    <row r="56" spans="1:6" x14ac:dyDescent="0.2">
      <c r="A56" s="7">
        <v>44377</v>
      </c>
      <c r="B56" s="3" t="s">
        <v>11</v>
      </c>
      <c r="C56" s="3" t="s">
        <v>12</v>
      </c>
      <c r="D56" s="16">
        <v>132903951</v>
      </c>
      <c r="E56" s="16">
        <v>124247479</v>
      </c>
      <c r="F56" s="10">
        <v>6.5133293140397317</v>
      </c>
    </row>
    <row r="57" spans="1:6" x14ac:dyDescent="0.2">
      <c r="A57" s="7">
        <v>44469</v>
      </c>
      <c r="B57" s="3" t="s">
        <v>11</v>
      </c>
      <c r="C57" s="3" t="s">
        <v>12</v>
      </c>
      <c r="D57" s="16">
        <v>127396729</v>
      </c>
      <c r="E57" s="16">
        <v>119708670</v>
      </c>
      <c r="F57" s="10">
        <v>6.03473814465048</v>
      </c>
    </row>
    <row r="58" spans="1:6" x14ac:dyDescent="0.2">
      <c r="A58" s="7">
        <v>44561</v>
      </c>
      <c r="B58" s="3" t="s">
        <v>11</v>
      </c>
      <c r="C58" s="3" t="s">
        <v>12</v>
      </c>
      <c r="D58" s="16">
        <v>129386249</v>
      </c>
      <c r="E58" s="16">
        <v>121387428</v>
      </c>
      <c r="F58" s="10">
        <v>6.1821260464858208</v>
      </c>
    </row>
    <row r="59" spans="1:6" x14ac:dyDescent="0.2">
      <c r="A59" s="7">
        <v>44651</v>
      </c>
      <c r="B59" s="3" t="s">
        <v>11</v>
      </c>
      <c r="C59" s="3" t="s">
        <v>12</v>
      </c>
      <c r="D59" s="16">
        <v>154070061</v>
      </c>
      <c r="E59" s="16">
        <v>145459717</v>
      </c>
      <c r="F59" s="10">
        <v>5.5885899856948846</v>
      </c>
    </row>
    <row r="60" spans="1:6" x14ac:dyDescent="0.2">
      <c r="A60" s="7">
        <v>44742</v>
      </c>
      <c r="B60" s="3" t="s">
        <v>11</v>
      </c>
      <c r="C60" s="3" t="s">
        <v>12</v>
      </c>
      <c r="D60" s="16">
        <v>177806688</v>
      </c>
      <c r="E60" s="16">
        <v>170259185</v>
      </c>
      <c r="F60" s="10">
        <v>4.2447801513517884</v>
      </c>
    </row>
    <row r="61" spans="1:6" x14ac:dyDescent="0.2">
      <c r="A61" s="7">
        <v>44834</v>
      </c>
      <c r="B61" s="3" t="s">
        <v>11</v>
      </c>
      <c r="C61" s="3" t="s">
        <v>12</v>
      </c>
      <c r="D61" s="16">
        <v>169735108</v>
      </c>
      <c r="E61" s="16">
        <v>159233013</v>
      </c>
      <c r="F61" s="10">
        <v>6.1873439877859564</v>
      </c>
    </row>
    <row r="62" spans="1:6" x14ac:dyDescent="0.2">
      <c r="A62" s="7">
        <v>44926</v>
      </c>
      <c r="B62" s="3" t="s">
        <v>11</v>
      </c>
      <c r="C62" s="3" t="s">
        <v>12</v>
      </c>
      <c r="D62" s="16">
        <v>200152898</v>
      </c>
      <c r="E62" s="16">
        <v>188354119</v>
      </c>
      <c r="F62" s="10">
        <v>5.8948829209557587</v>
      </c>
    </row>
    <row r="63" spans="1:6" x14ac:dyDescent="0.2">
      <c r="A63" s="7">
        <v>45016</v>
      </c>
      <c r="B63" s="3" t="s">
        <v>11</v>
      </c>
      <c r="C63" s="3" t="s">
        <v>12</v>
      </c>
      <c r="D63" s="16">
        <v>225611783</v>
      </c>
      <c r="E63" s="16">
        <v>208813837</v>
      </c>
      <c r="F63" s="10">
        <v>7.4455091736055294</v>
      </c>
    </row>
    <row r="64" spans="1:6" x14ac:dyDescent="0.2">
      <c r="A64" s="7">
        <v>45107</v>
      </c>
      <c r="B64" s="3" t="s">
        <v>11</v>
      </c>
      <c r="C64" s="3" t="s">
        <v>12</v>
      </c>
      <c r="D64" s="16">
        <v>323062996</v>
      </c>
      <c r="E64" s="16">
        <v>310651647</v>
      </c>
      <c r="F64" s="10">
        <v>3.8417736335237849</v>
      </c>
    </row>
    <row r="65" spans="1:6" x14ac:dyDescent="0.2">
      <c r="A65" s="7">
        <v>45199</v>
      </c>
      <c r="B65" s="3" t="s">
        <v>11</v>
      </c>
      <c r="C65" s="3" t="s">
        <v>12</v>
      </c>
      <c r="D65" s="16">
        <v>450562666</v>
      </c>
      <c r="E65" s="16">
        <v>428125384</v>
      </c>
      <c r="F65" s="10">
        <v>4.9798360346172128</v>
      </c>
    </row>
    <row r="66" spans="1:6" x14ac:dyDescent="0.2">
      <c r="A66" s="7">
        <v>45291</v>
      </c>
      <c r="B66" s="3" t="s">
        <v>11</v>
      </c>
      <c r="C66" s="3" t="s">
        <v>12</v>
      </c>
      <c r="D66" s="16">
        <v>755784491</v>
      </c>
      <c r="E66" s="16">
        <v>724064285</v>
      </c>
      <c r="F66" s="10">
        <v>4.1969908588664069</v>
      </c>
    </row>
    <row r="67" spans="1:6" x14ac:dyDescent="0.2">
      <c r="A67" s="7">
        <v>45382</v>
      </c>
      <c r="B67" s="3" t="s">
        <v>11</v>
      </c>
      <c r="C67" s="3" t="s">
        <v>12</v>
      </c>
      <c r="D67" s="16">
        <v>1125345485</v>
      </c>
      <c r="E67" s="16">
        <v>1095559650</v>
      </c>
      <c r="F67" s="10">
        <v>2.6468169461754232</v>
      </c>
    </row>
    <row r="68" spans="1:6" x14ac:dyDescent="0.2">
      <c r="A68" s="7">
        <v>45473</v>
      </c>
      <c r="B68" s="3" t="s">
        <v>11</v>
      </c>
      <c r="C68" s="3" t="s">
        <v>12</v>
      </c>
      <c r="D68" s="16">
        <v>1718812504</v>
      </c>
      <c r="E68" s="16">
        <v>1680326406</v>
      </c>
      <c r="F68" s="10">
        <v>2.239109728980655</v>
      </c>
    </row>
    <row r="69" spans="1:6" x14ac:dyDescent="0.2">
      <c r="A69" s="7">
        <v>45565</v>
      </c>
      <c r="B69" s="3" t="s">
        <v>11</v>
      </c>
      <c r="C69" s="3" t="s">
        <v>12</v>
      </c>
      <c r="D69" s="16">
        <v>2322341377</v>
      </c>
      <c r="E69" s="16">
        <v>2297827428</v>
      </c>
      <c r="F69" s="10">
        <v>1.05557043605997</v>
      </c>
    </row>
    <row r="70" spans="1:6" x14ac:dyDescent="0.2">
      <c r="A70" s="7">
        <v>45657</v>
      </c>
      <c r="B70" s="3" t="s">
        <v>11</v>
      </c>
      <c r="C70" s="3" t="s">
        <v>12</v>
      </c>
      <c r="D70" s="16">
        <v>2678559160</v>
      </c>
      <c r="E70" s="16">
        <v>2647524515</v>
      </c>
      <c r="F70" s="10">
        <v>1.15863205351044</v>
      </c>
    </row>
    <row r="71" spans="1:6" x14ac:dyDescent="0.2">
      <c r="A71" s="7">
        <v>45747</v>
      </c>
      <c r="B71" s="3" t="s">
        <v>11</v>
      </c>
      <c r="C71" s="3" t="s">
        <v>12</v>
      </c>
      <c r="D71" s="16">
        <v>3634109883</v>
      </c>
      <c r="E71" s="16">
        <v>3572156385</v>
      </c>
      <c r="F71" s="10">
        <v>1.704777785884027</v>
      </c>
    </row>
    <row r="72" spans="1:6" x14ac:dyDescent="0.2">
      <c r="A72" s="7">
        <v>45838</v>
      </c>
      <c r="B72" s="3" t="s">
        <v>11</v>
      </c>
      <c r="C72" s="3" t="s">
        <v>12</v>
      </c>
      <c r="D72" s="16">
        <v>4832770841</v>
      </c>
      <c r="E72" s="16">
        <v>4786691941</v>
      </c>
      <c r="F72" s="10">
        <v>0.95346751410346864</v>
      </c>
    </row>
    <row r="73" spans="1:6" x14ac:dyDescent="0.2">
      <c r="A73" s="7">
        <v>45930</v>
      </c>
      <c r="B73" s="3" t="s">
        <v>11</v>
      </c>
      <c r="C73" s="3" t="s">
        <v>12</v>
      </c>
      <c r="D73" s="16">
        <v>5921968351</v>
      </c>
      <c r="E73" s="16">
        <v>5882079647</v>
      </c>
      <c r="F73" s="10">
        <v>0.67357171865439436</v>
      </c>
    </row>
    <row r="74" spans="1:6" x14ac:dyDescent="0.2">
      <c r="A74" s="7">
        <v>46022</v>
      </c>
      <c r="B74" s="3" t="s">
        <v>11</v>
      </c>
      <c r="C74" s="3" t="s">
        <v>12</v>
      </c>
      <c r="D74" s="16">
        <v>5648917887</v>
      </c>
      <c r="E74" s="16">
        <v>5587745009</v>
      </c>
      <c r="F74" s="10">
        <v>1.0829132096392959</v>
      </c>
    </row>
    <row r="75" spans="1:6" x14ac:dyDescent="0.2">
      <c r="A75" s="7">
        <v>43921</v>
      </c>
      <c r="B75" s="3" t="s">
        <v>13</v>
      </c>
      <c r="C75" s="3" t="s">
        <v>14</v>
      </c>
      <c r="D75" s="16">
        <v>471348885</v>
      </c>
      <c r="E75" s="16">
        <v>409988814</v>
      </c>
      <c r="F75" s="10">
        <v>13.01797308802375</v>
      </c>
    </row>
    <row r="76" spans="1:6" x14ac:dyDescent="0.2">
      <c r="A76" s="7">
        <v>44012</v>
      </c>
      <c r="B76" s="3" t="s">
        <v>13</v>
      </c>
      <c r="C76" s="3" t="s">
        <v>14</v>
      </c>
      <c r="D76" s="16">
        <v>499202609</v>
      </c>
      <c r="E76" s="16">
        <v>436715032</v>
      </c>
      <c r="F76" s="10">
        <v>12.517478048677431</v>
      </c>
    </row>
    <row r="77" spans="1:6" x14ac:dyDescent="0.2">
      <c r="A77" s="7">
        <v>44104</v>
      </c>
      <c r="B77" s="3" t="s">
        <v>13</v>
      </c>
      <c r="C77" s="3" t="s">
        <v>14</v>
      </c>
      <c r="D77" s="16">
        <v>485938292</v>
      </c>
      <c r="E77" s="16">
        <v>426116628</v>
      </c>
      <c r="F77" s="10">
        <v>12.31054744704087</v>
      </c>
    </row>
    <row r="78" spans="1:6" x14ac:dyDescent="0.2">
      <c r="A78" s="7">
        <v>44196</v>
      </c>
      <c r="B78" s="3" t="s">
        <v>13</v>
      </c>
      <c r="C78" s="3" t="s">
        <v>14</v>
      </c>
      <c r="D78" s="16">
        <v>490213712</v>
      </c>
      <c r="E78" s="16">
        <v>427639703</v>
      </c>
      <c r="F78" s="10">
        <v>12.764638660291091</v>
      </c>
    </row>
    <row r="79" spans="1:6" x14ac:dyDescent="0.2">
      <c r="A79" s="7">
        <v>44286</v>
      </c>
      <c r="B79" s="3" t="s">
        <v>13</v>
      </c>
      <c r="C79" s="3" t="s">
        <v>14</v>
      </c>
      <c r="D79" s="16">
        <v>518411898</v>
      </c>
      <c r="E79" s="16">
        <v>453361886</v>
      </c>
      <c r="F79" s="10">
        <v>12.54793963081457</v>
      </c>
    </row>
    <row r="80" spans="1:6" x14ac:dyDescent="0.2">
      <c r="A80" s="7">
        <v>44377</v>
      </c>
      <c r="B80" s="3" t="s">
        <v>13</v>
      </c>
      <c r="C80" s="3" t="s">
        <v>14</v>
      </c>
      <c r="D80" s="16">
        <v>583896668</v>
      </c>
      <c r="E80" s="16">
        <v>513183947</v>
      </c>
      <c r="F80" s="10">
        <v>12.11048544637354</v>
      </c>
    </row>
    <row r="81" spans="1:6" x14ac:dyDescent="0.2">
      <c r="A81" s="7">
        <v>44469</v>
      </c>
      <c r="B81" s="3" t="s">
        <v>13</v>
      </c>
      <c r="C81" s="3" t="s">
        <v>14</v>
      </c>
      <c r="D81" s="16">
        <v>668503510</v>
      </c>
      <c r="E81" s="16">
        <v>596519039</v>
      </c>
      <c r="F81" s="10">
        <v>10.768001951104189</v>
      </c>
    </row>
    <row r="82" spans="1:6" x14ac:dyDescent="0.2">
      <c r="A82" s="7">
        <v>44561</v>
      </c>
      <c r="B82" s="3" t="s">
        <v>13</v>
      </c>
      <c r="C82" s="3" t="s">
        <v>14</v>
      </c>
      <c r="D82" s="16">
        <v>753166708</v>
      </c>
      <c r="E82" s="16">
        <v>670513676</v>
      </c>
      <c r="F82" s="10">
        <v>10.974068705118601</v>
      </c>
    </row>
    <row r="83" spans="1:6" x14ac:dyDescent="0.2">
      <c r="A83" s="7">
        <v>44651</v>
      </c>
      <c r="B83" s="3" t="s">
        <v>13</v>
      </c>
      <c r="C83" s="3" t="s">
        <v>14</v>
      </c>
      <c r="D83" s="16">
        <v>799549274</v>
      </c>
      <c r="E83" s="16">
        <v>714912853</v>
      </c>
      <c r="F83" s="10">
        <v>10.585516584435039</v>
      </c>
    </row>
    <row r="84" spans="1:6" x14ac:dyDescent="0.2">
      <c r="A84" s="7">
        <v>44742</v>
      </c>
      <c r="B84" s="3" t="s">
        <v>13</v>
      </c>
      <c r="C84" s="3" t="s">
        <v>14</v>
      </c>
      <c r="D84" s="16">
        <v>976554650</v>
      </c>
      <c r="E84" s="16">
        <v>891661119</v>
      </c>
      <c r="F84" s="10">
        <v>8.6931674535572583</v>
      </c>
    </row>
    <row r="85" spans="1:6" x14ac:dyDescent="0.2">
      <c r="A85" s="7">
        <v>44834</v>
      </c>
      <c r="B85" s="3" t="s">
        <v>13</v>
      </c>
      <c r="C85" s="3" t="s">
        <v>14</v>
      </c>
      <c r="D85" s="16">
        <v>1076567427</v>
      </c>
      <c r="E85" s="16">
        <v>979652263</v>
      </c>
      <c r="F85" s="10">
        <v>9.0022381849381361</v>
      </c>
    </row>
    <row r="86" spans="1:6" x14ac:dyDescent="0.2">
      <c r="A86" s="7">
        <v>44926</v>
      </c>
      <c r="B86" s="3" t="s">
        <v>13</v>
      </c>
      <c r="C86" s="3" t="s">
        <v>14</v>
      </c>
      <c r="D86" s="16">
        <v>1250822243</v>
      </c>
      <c r="E86" s="16">
        <v>1138987989</v>
      </c>
      <c r="F86" s="10">
        <v>8.9408590729706106</v>
      </c>
    </row>
    <row r="87" spans="1:6" x14ac:dyDescent="0.2">
      <c r="A87" s="7">
        <v>45016</v>
      </c>
      <c r="B87" s="3" t="s">
        <v>13</v>
      </c>
      <c r="C87" s="3" t="s">
        <v>14</v>
      </c>
      <c r="D87" s="16">
        <v>1515129596</v>
      </c>
      <c r="E87" s="16">
        <v>1376380429</v>
      </c>
      <c r="F87" s="10">
        <v>9.1575775013769842</v>
      </c>
    </row>
    <row r="88" spans="1:6" x14ac:dyDescent="0.2">
      <c r="A88" s="7">
        <v>45107</v>
      </c>
      <c r="B88" s="3" t="s">
        <v>13</v>
      </c>
      <c r="C88" s="3" t="s">
        <v>14</v>
      </c>
      <c r="D88" s="16">
        <v>1949121400</v>
      </c>
      <c r="E88" s="16">
        <v>1779618764</v>
      </c>
      <c r="F88" s="10">
        <v>8.6963611399474665</v>
      </c>
    </row>
    <row r="89" spans="1:6" x14ac:dyDescent="0.2">
      <c r="A89" s="7">
        <v>45199</v>
      </c>
      <c r="B89" s="3" t="s">
        <v>13</v>
      </c>
      <c r="C89" s="3" t="s">
        <v>14</v>
      </c>
      <c r="D89" s="16">
        <v>2525681542</v>
      </c>
      <c r="E89" s="16">
        <v>2295448047</v>
      </c>
      <c r="F89" s="10">
        <v>9.1156977303514708</v>
      </c>
    </row>
    <row r="90" spans="1:6" x14ac:dyDescent="0.2">
      <c r="A90" s="7">
        <v>45291</v>
      </c>
      <c r="B90" s="3" t="s">
        <v>13</v>
      </c>
      <c r="C90" s="3" t="s">
        <v>14</v>
      </c>
      <c r="D90" s="16">
        <v>3281748072</v>
      </c>
      <c r="E90" s="16">
        <v>2835470272</v>
      </c>
      <c r="F90" s="10">
        <v>13.59878303297134</v>
      </c>
    </row>
    <row r="91" spans="1:6" x14ac:dyDescent="0.2">
      <c r="A91" s="7">
        <v>45382</v>
      </c>
      <c r="B91" s="3" t="s">
        <v>13</v>
      </c>
      <c r="C91" s="3" t="s">
        <v>14</v>
      </c>
      <c r="D91" s="16">
        <v>4725909166</v>
      </c>
      <c r="E91" s="16">
        <v>4559001530</v>
      </c>
      <c r="F91" s="10">
        <v>3.5317571738533919</v>
      </c>
    </row>
    <row r="92" spans="1:6" x14ac:dyDescent="0.2">
      <c r="A92" s="7">
        <v>45473</v>
      </c>
      <c r="B92" s="3" t="s">
        <v>13</v>
      </c>
      <c r="C92" s="3" t="s">
        <v>14</v>
      </c>
      <c r="D92" s="16">
        <v>6704795374</v>
      </c>
      <c r="E92" s="16">
        <v>6532910763</v>
      </c>
      <c r="F92" s="10">
        <v>2.5636071112108492</v>
      </c>
    </row>
    <row r="93" spans="1:6" x14ac:dyDescent="0.2">
      <c r="A93" s="7">
        <v>45565</v>
      </c>
      <c r="B93" s="3" t="s">
        <v>13</v>
      </c>
      <c r="C93" s="3" t="s">
        <v>14</v>
      </c>
      <c r="D93" s="16">
        <v>9154631414</v>
      </c>
      <c r="E93" s="16">
        <v>8970618791</v>
      </c>
      <c r="F93" s="10">
        <v>2.0100495003937899</v>
      </c>
    </row>
    <row r="94" spans="1:6" x14ac:dyDescent="0.2">
      <c r="A94" s="7">
        <v>45657</v>
      </c>
      <c r="B94" s="3" t="s">
        <v>13</v>
      </c>
      <c r="C94" s="3" t="s">
        <v>14</v>
      </c>
      <c r="D94" s="16">
        <v>12090593942</v>
      </c>
      <c r="E94" s="16">
        <v>11906150746</v>
      </c>
      <c r="F94" s="10">
        <v>1.525509804438026</v>
      </c>
    </row>
    <row r="95" spans="1:6" x14ac:dyDescent="0.2">
      <c r="A95" s="7">
        <v>45747</v>
      </c>
      <c r="B95" s="3" t="s">
        <v>13</v>
      </c>
      <c r="C95" s="3" t="s">
        <v>14</v>
      </c>
      <c r="D95" s="16">
        <v>14718968426</v>
      </c>
      <c r="E95" s="16">
        <v>14330407492</v>
      </c>
      <c r="F95" s="10">
        <v>2.639865259263924</v>
      </c>
    </row>
    <row r="96" spans="1:6" x14ac:dyDescent="0.2">
      <c r="A96" s="7">
        <v>45838</v>
      </c>
      <c r="B96" s="3" t="s">
        <v>13</v>
      </c>
      <c r="C96" s="3" t="s">
        <v>14</v>
      </c>
      <c r="D96" s="16">
        <v>16177498102</v>
      </c>
      <c r="E96" s="16">
        <v>15797362552</v>
      </c>
      <c r="F96" s="10">
        <v>2.3497795988182149</v>
      </c>
    </row>
    <row r="97" spans="1:6" x14ac:dyDescent="0.2">
      <c r="A97" s="7">
        <v>45930</v>
      </c>
      <c r="B97" s="3" t="s">
        <v>13</v>
      </c>
      <c r="C97" s="3" t="s">
        <v>14</v>
      </c>
      <c r="D97" s="16">
        <v>18422249185</v>
      </c>
      <c r="E97" s="16">
        <v>17521571612</v>
      </c>
      <c r="F97" s="10">
        <v>4.8890749655767394</v>
      </c>
    </row>
    <row r="98" spans="1:6" x14ac:dyDescent="0.2">
      <c r="A98" s="7">
        <v>46022</v>
      </c>
      <c r="B98" s="3" t="s">
        <v>13</v>
      </c>
      <c r="C98" s="3" t="s">
        <v>14</v>
      </c>
      <c r="D98" s="16">
        <v>19553684531</v>
      </c>
      <c r="E98" s="16">
        <v>18714842788</v>
      </c>
      <c r="F98" s="10">
        <v>4.2899420908121844</v>
      </c>
    </row>
    <row r="99" spans="1:6" x14ac:dyDescent="0.2">
      <c r="A99" s="7">
        <v>43921</v>
      </c>
      <c r="B99" s="3" t="s">
        <v>15</v>
      </c>
      <c r="C99" s="3" t="s">
        <v>16</v>
      </c>
      <c r="D99" s="16">
        <v>60260218</v>
      </c>
      <c r="E99" s="16">
        <v>59861393</v>
      </c>
      <c r="F99" s="10">
        <v>0.66183796414410578</v>
      </c>
    </row>
    <row r="100" spans="1:6" x14ac:dyDescent="0.2">
      <c r="A100" s="7">
        <v>44012</v>
      </c>
      <c r="B100" s="3" t="s">
        <v>15</v>
      </c>
      <c r="C100" s="3" t="s">
        <v>16</v>
      </c>
      <c r="D100" s="16">
        <v>70865976</v>
      </c>
      <c r="E100" s="16">
        <v>70052158</v>
      </c>
      <c r="F100" s="10">
        <v>1.148390307924356</v>
      </c>
    </row>
    <row r="101" spans="1:6" x14ac:dyDescent="0.2">
      <c r="A101" s="7">
        <v>44104</v>
      </c>
      <c r="B101" s="3" t="s">
        <v>15</v>
      </c>
      <c r="C101" s="3" t="s">
        <v>16</v>
      </c>
      <c r="D101" s="16">
        <v>68841550</v>
      </c>
      <c r="E101" s="16">
        <v>68376554</v>
      </c>
      <c r="F101" s="10">
        <v>0.6754583532764733</v>
      </c>
    </row>
    <row r="102" spans="1:6" x14ac:dyDescent="0.2">
      <c r="A102" s="7">
        <v>44196</v>
      </c>
      <c r="B102" s="3" t="s">
        <v>15</v>
      </c>
      <c r="C102" s="3" t="s">
        <v>16</v>
      </c>
      <c r="D102" s="16">
        <v>73283963</v>
      </c>
      <c r="E102" s="16">
        <v>71150852</v>
      </c>
      <c r="F102" s="10">
        <v>2.9107473349933328</v>
      </c>
    </row>
    <row r="103" spans="1:6" x14ac:dyDescent="0.2">
      <c r="A103" s="7">
        <v>44286</v>
      </c>
      <c r="B103" s="3" t="s">
        <v>15</v>
      </c>
      <c r="C103" s="3" t="s">
        <v>16</v>
      </c>
      <c r="D103" s="16">
        <v>75790816</v>
      </c>
      <c r="E103" s="16">
        <v>74122706</v>
      </c>
      <c r="F103" s="10">
        <v>2.200939491138346</v>
      </c>
    </row>
    <row r="104" spans="1:6" x14ac:dyDescent="0.2">
      <c r="A104" s="7">
        <v>44377</v>
      </c>
      <c r="B104" s="3" t="s">
        <v>15</v>
      </c>
      <c r="C104" s="3" t="s">
        <v>16</v>
      </c>
      <c r="D104" s="16">
        <v>74480876</v>
      </c>
      <c r="E104" s="16">
        <v>72562382</v>
      </c>
      <c r="F104" s="10">
        <v>2.5758209395926008</v>
      </c>
    </row>
    <row r="105" spans="1:6" x14ac:dyDescent="0.2">
      <c r="A105" s="7">
        <v>44469</v>
      </c>
      <c r="B105" s="3" t="s">
        <v>15</v>
      </c>
      <c r="C105" s="3" t="s">
        <v>16</v>
      </c>
      <c r="D105" s="16">
        <v>69881836</v>
      </c>
      <c r="E105" s="16">
        <v>67449909</v>
      </c>
      <c r="F105" s="10">
        <v>3.4800559618954492</v>
      </c>
    </row>
    <row r="106" spans="1:6" x14ac:dyDescent="0.2">
      <c r="A106" s="7">
        <v>44561</v>
      </c>
      <c r="B106" s="3" t="s">
        <v>15</v>
      </c>
      <c r="C106" s="3" t="s">
        <v>16</v>
      </c>
      <c r="D106" s="16">
        <v>65057521</v>
      </c>
      <c r="E106" s="16">
        <v>63028164</v>
      </c>
      <c r="F106" s="10">
        <v>3.1193272796238269</v>
      </c>
    </row>
    <row r="107" spans="1:6" x14ac:dyDescent="0.2">
      <c r="A107" s="7">
        <v>44651</v>
      </c>
      <c r="B107" s="3" t="s">
        <v>15</v>
      </c>
      <c r="C107" s="3" t="s">
        <v>16</v>
      </c>
      <c r="D107" s="16">
        <v>70775415</v>
      </c>
      <c r="E107" s="16">
        <v>68266311</v>
      </c>
      <c r="F107" s="10">
        <v>3.5451632463052309</v>
      </c>
    </row>
    <row r="108" spans="1:6" x14ac:dyDescent="0.2">
      <c r="A108" s="7">
        <v>44742</v>
      </c>
      <c r="B108" s="3" t="s">
        <v>15</v>
      </c>
      <c r="C108" s="3" t="s">
        <v>16</v>
      </c>
      <c r="D108" s="16">
        <v>81777559</v>
      </c>
      <c r="E108" s="16">
        <v>78960641</v>
      </c>
      <c r="F108" s="10">
        <v>3.4446100304852578</v>
      </c>
    </row>
    <row r="109" spans="1:6" x14ac:dyDescent="0.2">
      <c r="A109" s="7">
        <v>44834</v>
      </c>
      <c r="B109" s="3" t="s">
        <v>15</v>
      </c>
      <c r="C109" s="3" t="s">
        <v>16</v>
      </c>
      <c r="D109" s="16">
        <v>81739427</v>
      </c>
      <c r="E109" s="16">
        <v>77466934</v>
      </c>
      <c r="F109" s="10">
        <v>5.2269671525835388</v>
      </c>
    </row>
    <row r="110" spans="1:6" x14ac:dyDescent="0.2">
      <c r="A110" s="7">
        <v>44926</v>
      </c>
      <c r="B110" s="3" t="s">
        <v>15</v>
      </c>
      <c r="C110" s="3" t="s">
        <v>16</v>
      </c>
      <c r="D110" s="16">
        <v>91565538</v>
      </c>
      <c r="E110" s="16">
        <v>86955693</v>
      </c>
      <c r="F110" s="10">
        <v>5.0344759619061046</v>
      </c>
    </row>
    <row r="111" spans="1:6" x14ac:dyDescent="0.2">
      <c r="A111" s="7">
        <v>45016</v>
      </c>
      <c r="B111" s="3" t="s">
        <v>15</v>
      </c>
      <c r="C111" s="3" t="s">
        <v>16</v>
      </c>
      <c r="D111" s="16">
        <v>113977890</v>
      </c>
      <c r="E111" s="16">
        <v>108435846</v>
      </c>
      <c r="F111" s="10">
        <v>4.8623851520676524</v>
      </c>
    </row>
    <row r="112" spans="1:6" x14ac:dyDescent="0.2">
      <c r="A112" s="7">
        <v>45107</v>
      </c>
      <c r="B112" s="3" t="s">
        <v>15</v>
      </c>
      <c r="C112" s="3" t="s">
        <v>16</v>
      </c>
      <c r="D112" s="16">
        <v>133943326</v>
      </c>
      <c r="E112" s="16">
        <v>128332144</v>
      </c>
      <c r="F112" s="10">
        <v>4.1892210441302611</v>
      </c>
    </row>
    <row r="113" spans="1:6" x14ac:dyDescent="0.2">
      <c r="A113" s="7">
        <v>45199</v>
      </c>
      <c r="B113" s="3" t="s">
        <v>15</v>
      </c>
      <c r="C113" s="3" t="s">
        <v>16</v>
      </c>
      <c r="D113" s="16">
        <v>176766576</v>
      </c>
      <c r="E113" s="16">
        <v>169524334</v>
      </c>
      <c r="F113" s="10">
        <v>4.0970652732448691</v>
      </c>
    </row>
    <row r="114" spans="1:6" x14ac:dyDescent="0.2">
      <c r="A114" s="7">
        <v>45291</v>
      </c>
      <c r="B114" s="3" t="s">
        <v>15</v>
      </c>
      <c r="C114" s="3" t="s">
        <v>16</v>
      </c>
      <c r="D114" s="16">
        <v>310547267</v>
      </c>
      <c r="E114" s="16">
        <v>295384416</v>
      </c>
      <c r="F114" s="10">
        <v>4.8826225864032482</v>
      </c>
    </row>
    <row r="115" spans="1:6" x14ac:dyDescent="0.2">
      <c r="A115" s="7">
        <v>45382</v>
      </c>
      <c r="B115" s="3" t="s">
        <v>15</v>
      </c>
      <c r="C115" s="3" t="s">
        <v>16</v>
      </c>
      <c r="D115" s="16">
        <v>564469696</v>
      </c>
      <c r="E115" s="16">
        <v>539536290</v>
      </c>
      <c r="F115" s="10">
        <v>4.4171380991194962</v>
      </c>
    </row>
    <row r="116" spans="1:6" x14ac:dyDescent="0.2">
      <c r="A116" s="7">
        <v>45473</v>
      </c>
      <c r="B116" s="3" t="s">
        <v>15</v>
      </c>
      <c r="C116" s="3" t="s">
        <v>16</v>
      </c>
      <c r="D116" s="16">
        <v>618081806</v>
      </c>
      <c r="E116" s="16">
        <v>599979144</v>
      </c>
      <c r="F116" s="10">
        <v>2.928845635685966</v>
      </c>
    </row>
    <row r="117" spans="1:6" x14ac:dyDescent="0.2">
      <c r="A117" s="7">
        <v>45565</v>
      </c>
      <c r="B117" s="3" t="s">
        <v>15</v>
      </c>
      <c r="C117" s="3" t="s">
        <v>16</v>
      </c>
      <c r="D117" s="16">
        <v>643024942</v>
      </c>
      <c r="E117" s="16">
        <v>626036527</v>
      </c>
      <c r="F117" s="10">
        <v>2.6419527284837421</v>
      </c>
    </row>
    <row r="118" spans="1:6" x14ac:dyDescent="0.2">
      <c r="A118" s="7">
        <v>45657</v>
      </c>
      <c r="B118" s="3" t="s">
        <v>15</v>
      </c>
      <c r="C118" s="3" t="s">
        <v>16</v>
      </c>
      <c r="D118" s="16">
        <v>963633501</v>
      </c>
      <c r="E118" s="16">
        <v>916651716</v>
      </c>
      <c r="F118" s="10">
        <v>4.8754827381203718</v>
      </c>
    </row>
    <row r="119" spans="1:6" x14ac:dyDescent="0.2">
      <c r="A119" s="7">
        <v>45747</v>
      </c>
      <c r="B119" s="3" t="s">
        <v>15</v>
      </c>
      <c r="C119" s="3" t="s">
        <v>16</v>
      </c>
      <c r="D119" s="16">
        <v>1251306921</v>
      </c>
      <c r="E119" s="16">
        <v>1198902769</v>
      </c>
      <c r="F119" s="10">
        <v>4.1879535004985398</v>
      </c>
    </row>
    <row r="120" spans="1:6" x14ac:dyDescent="0.2">
      <c r="A120" s="7">
        <v>45838</v>
      </c>
      <c r="B120" s="3" t="s">
        <v>15</v>
      </c>
      <c r="C120" s="3" t="s">
        <v>16</v>
      </c>
      <c r="D120" s="16">
        <v>1756751002</v>
      </c>
      <c r="E120" s="16">
        <v>1681560255</v>
      </c>
      <c r="F120" s="10">
        <v>4.2801026960791786</v>
      </c>
    </row>
    <row r="121" spans="1:6" x14ac:dyDescent="0.2">
      <c r="A121" s="7">
        <v>45930</v>
      </c>
      <c r="B121" s="3" t="s">
        <v>15</v>
      </c>
      <c r="C121" s="3" t="s">
        <v>16</v>
      </c>
      <c r="D121" s="16">
        <v>2149339203</v>
      </c>
      <c r="E121" s="16">
        <v>2093061859</v>
      </c>
      <c r="F121" s="10">
        <v>2.6183556286252689</v>
      </c>
    </row>
    <row r="122" spans="1:6" x14ac:dyDescent="0.2">
      <c r="A122" s="7">
        <v>46022</v>
      </c>
      <c r="B122" s="3" t="s">
        <v>15</v>
      </c>
      <c r="C122" s="3" t="s">
        <v>16</v>
      </c>
      <c r="D122" s="16">
        <v>2475532291</v>
      </c>
      <c r="E122" s="16">
        <v>2418363669</v>
      </c>
      <c r="F122" s="10">
        <v>2.3093466487123271</v>
      </c>
    </row>
    <row r="123" spans="1:6" x14ac:dyDescent="0.2">
      <c r="A123" s="7">
        <v>43921</v>
      </c>
      <c r="B123" s="3" t="s">
        <v>17</v>
      </c>
      <c r="C123" s="3" t="s">
        <v>18</v>
      </c>
      <c r="D123" s="16">
        <v>62308149</v>
      </c>
      <c r="E123" s="16">
        <v>56459149</v>
      </c>
      <c r="F123" s="10">
        <v>9.3872151458070103</v>
      </c>
    </row>
    <row r="124" spans="1:6" x14ac:dyDescent="0.2">
      <c r="A124" s="7">
        <v>44012</v>
      </c>
      <c r="B124" s="3" t="s">
        <v>17</v>
      </c>
      <c r="C124" s="3" t="s">
        <v>18</v>
      </c>
      <c r="D124" s="16">
        <v>73230950</v>
      </c>
      <c r="E124" s="16">
        <v>65485440</v>
      </c>
      <c r="F124" s="10">
        <v>10.576825781995179</v>
      </c>
    </row>
    <row r="125" spans="1:6" x14ac:dyDescent="0.2">
      <c r="A125" s="7">
        <v>44104</v>
      </c>
      <c r="B125" s="3" t="s">
        <v>17</v>
      </c>
      <c r="C125" s="3" t="s">
        <v>18</v>
      </c>
      <c r="D125" s="16">
        <v>78799495</v>
      </c>
      <c r="E125" s="16">
        <v>71389904</v>
      </c>
      <c r="F125" s="10">
        <v>9.4030945249078055</v>
      </c>
    </row>
    <row r="126" spans="1:6" x14ac:dyDescent="0.2">
      <c r="A126" s="7">
        <v>44196</v>
      </c>
      <c r="B126" s="3" t="s">
        <v>17</v>
      </c>
      <c r="C126" s="3" t="s">
        <v>18</v>
      </c>
      <c r="D126" s="16">
        <v>87287406</v>
      </c>
      <c r="E126" s="16">
        <v>80362925</v>
      </c>
      <c r="F126" s="10">
        <v>7.9329668703867773</v>
      </c>
    </row>
    <row r="127" spans="1:6" x14ac:dyDescent="0.2">
      <c r="A127" s="7">
        <v>44286</v>
      </c>
      <c r="B127" s="3" t="s">
        <v>17</v>
      </c>
      <c r="C127" s="3" t="s">
        <v>18</v>
      </c>
      <c r="D127" s="16">
        <v>97783384</v>
      </c>
      <c r="E127" s="16">
        <v>89477204</v>
      </c>
      <c r="F127" s="10">
        <v>8.4944697761738333</v>
      </c>
    </row>
    <row r="128" spans="1:6" x14ac:dyDescent="0.2">
      <c r="A128" s="7">
        <v>44377</v>
      </c>
      <c r="B128" s="3" t="s">
        <v>17</v>
      </c>
      <c r="C128" s="3" t="s">
        <v>18</v>
      </c>
      <c r="D128" s="16">
        <v>93292744</v>
      </c>
      <c r="E128" s="16">
        <v>81679798</v>
      </c>
      <c r="F128" s="10">
        <v>12.44785553740385</v>
      </c>
    </row>
    <row r="129" spans="1:6" x14ac:dyDescent="0.2">
      <c r="A129" s="7">
        <v>44469</v>
      </c>
      <c r="B129" s="3" t="s">
        <v>17</v>
      </c>
      <c r="C129" s="3" t="s">
        <v>18</v>
      </c>
      <c r="D129" s="16">
        <v>107104139</v>
      </c>
      <c r="E129" s="16">
        <v>96219076</v>
      </c>
      <c r="F129" s="10">
        <v>10.16306475326784</v>
      </c>
    </row>
    <row r="130" spans="1:6" x14ac:dyDescent="0.2">
      <c r="A130" s="7">
        <v>44561</v>
      </c>
      <c r="B130" s="3" t="s">
        <v>17</v>
      </c>
      <c r="C130" s="3" t="s">
        <v>18</v>
      </c>
      <c r="D130" s="16">
        <v>122098893</v>
      </c>
      <c r="E130" s="16">
        <v>112577918</v>
      </c>
      <c r="F130" s="10">
        <v>7.7977570197954202</v>
      </c>
    </row>
    <row r="131" spans="1:6" x14ac:dyDescent="0.2">
      <c r="A131" s="7">
        <v>44651</v>
      </c>
      <c r="B131" s="3" t="s">
        <v>17</v>
      </c>
      <c r="C131" s="3" t="s">
        <v>18</v>
      </c>
      <c r="D131" s="16">
        <v>138254326</v>
      </c>
      <c r="E131" s="16">
        <v>128367421</v>
      </c>
      <c r="F131" s="10">
        <v>7.1512445838403629</v>
      </c>
    </row>
    <row r="132" spans="1:6" x14ac:dyDescent="0.2">
      <c r="A132" s="7">
        <v>44742</v>
      </c>
      <c r="B132" s="3" t="s">
        <v>17</v>
      </c>
      <c r="C132" s="3" t="s">
        <v>18</v>
      </c>
      <c r="D132" s="16">
        <v>163300859</v>
      </c>
      <c r="E132" s="16">
        <v>152162739</v>
      </c>
      <c r="F132" s="10">
        <v>6.8206132338838463</v>
      </c>
    </row>
    <row r="133" spans="1:6" x14ac:dyDescent="0.2">
      <c r="A133" s="7">
        <v>44834</v>
      </c>
      <c r="B133" s="3" t="s">
        <v>17</v>
      </c>
      <c r="C133" s="3" t="s">
        <v>18</v>
      </c>
      <c r="D133" s="16">
        <v>186081979</v>
      </c>
      <c r="E133" s="16">
        <v>175383497</v>
      </c>
      <c r="F133" s="10">
        <v>5.7493380377258347</v>
      </c>
    </row>
    <row r="134" spans="1:6" x14ac:dyDescent="0.2">
      <c r="A134" s="7">
        <v>44926</v>
      </c>
      <c r="B134" s="3" t="s">
        <v>17</v>
      </c>
      <c r="C134" s="3" t="s">
        <v>18</v>
      </c>
      <c r="D134" s="16">
        <v>222437167</v>
      </c>
      <c r="E134" s="16">
        <v>209899321</v>
      </c>
      <c r="F134" s="10">
        <v>5.6365787107871226</v>
      </c>
    </row>
    <row r="135" spans="1:6" x14ac:dyDescent="0.2">
      <c r="A135" s="7">
        <v>45016</v>
      </c>
      <c r="B135" s="3" t="s">
        <v>17</v>
      </c>
      <c r="C135" s="3" t="s">
        <v>18</v>
      </c>
      <c r="D135" s="16">
        <v>255552618</v>
      </c>
      <c r="E135" s="16">
        <v>242039303</v>
      </c>
      <c r="F135" s="10">
        <v>5.2878796960710446</v>
      </c>
    </row>
    <row r="136" spans="1:6" x14ac:dyDescent="0.2">
      <c r="A136" s="7">
        <v>45107</v>
      </c>
      <c r="B136" s="3" t="s">
        <v>17</v>
      </c>
      <c r="C136" s="3" t="s">
        <v>18</v>
      </c>
      <c r="D136" s="16">
        <v>335683109</v>
      </c>
      <c r="E136" s="16">
        <v>316306635</v>
      </c>
      <c r="F136" s="10">
        <v>5.7722517101687121</v>
      </c>
    </row>
    <row r="137" spans="1:6" x14ac:dyDescent="0.2">
      <c r="A137" s="7">
        <v>45199</v>
      </c>
      <c r="B137" s="3" t="s">
        <v>17</v>
      </c>
      <c r="C137" s="3" t="s">
        <v>18</v>
      </c>
      <c r="D137" s="16">
        <v>412032010</v>
      </c>
      <c r="E137" s="16">
        <v>388603827</v>
      </c>
      <c r="F137" s="10">
        <v>5.6860104145791972</v>
      </c>
    </row>
    <row r="138" spans="1:6" x14ac:dyDescent="0.2">
      <c r="A138" s="7">
        <v>45291</v>
      </c>
      <c r="B138" s="3" t="s">
        <v>17</v>
      </c>
      <c r="C138" s="3" t="s">
        <v>18</v>
      </c>
      <c r="D138" s="16">
        <v>516962408</v>
      </c>
      <c r="E138" s="16">
        <v>480060268</v>
      </c>
      <c r="F138" s="10">
        <v>7.138263716846506</v>
      </c>
    </row>
    <row r="139" spans="1:6" x14ac:dyDescent="0.2">
      <c r="A139" s="7">
        <v>45382</v>
      </c>
      <c r="B139" s="3" t="s">
        <v>17</v>
      </c>
      <c r="C139" s="3" t="s">
        <v>18</v>
      </c>
      <c r="D139" s="16">
        <v>677391903</v>
      </c>
      <c r="E139" s="16">
        <v>634928181</v>
      </c>
      <c r="F139" s="10">
        <v>6.268708234028006</v>
      </c>
    </row>
    <row r="140" spans="1:6" x14ac:dyDescent="0.2">
      <c r="A140" s="7">
        <v>45473</v>
      </c>
      <c r="B140" s="3" t="s">
        <v>17</v>
      </c>
      <c r="C140" s="3" t="s">
        <v>18</v>
      </c>
      <c r="D140" s="16">
        <v>913944932</v>
      </c>
      <c r="E140" s="16">
        <v>863460241</v>
      </c>
      <c r="F140" s="10">
        <v>5.5238219757424076</v>
      </c>
    </row>
    <row r="141" spans="1:6" x14ac:dyDescent="0.2">
      <c r="A141" s="7">
        <v>45565</v>
      </c>
      <c r="B141" s="3" t="s">
        <v>17</v>
      </c>
      <c r="C141" s="3" t="s">
        <v>18</v>
      </c>
      <c r="D141" s="16">
        <v>1294455347</v>
      </c>
      <c r="E141" s="16">
        <v>1239879837</v>
      </c>
      <c r="F141" s="10">
        <v>4.216098309337819</v>
      </c>
    </row>
    <row r="142" spans="1:6" x14ac:dyDescent="0.2">
      <c r="A142" s="7">
        <v>45657</v>
      </c>
      <c r="B142" s="3" t="s">
        <v>17</v>
      </c>
      <c r="C142" s="3" t="s">
        <v>18</v>
      </c>
      <c r="D142" s="16">
        <v>1728894670</v>
      </c>
      <c r="E142" s="16">
        <v>1657867474</v>
      </c>
      <c r="F142" s="10">
        <v>4.1082431007783722</v>
      </c>
    </row>
    <row r="143" spans="1:6" x14ac:dyDescent="0.2">
      <c r="A143" s="7">
        <v>45747</v>
      </c>
      <c r="B143" s="3" t="s">
        <v>17</v>
      </c>
      <c r="C143" s="3" t="s">
        <v>18</v>
      </c>
      <c r="D143" s="16">
        <v>2026401168</v>
      </c>
      <c r="E143" s="16">
        <v>1939300306</v>
      </c>
      <c r="F143" s="10">
        <v>4.2983029903188443</v>
      </c>
    </row>
    <row r="144" spans="1:6" x14ac:dyDescent="0.2">
      <c r="A144" s="7">
        <v>45838</v>
      </c>
      <c r="B144" s="3" t="s">
        <v>17</v>
      </c>
      <c r="C144" s="3" t="s">
        <v>18</v>
      </c>
      <c r="D144" s="16">
        <v>2377197641</v>
      </c>
      <c r="E144" s="16">
        <v>2245017565</v>
      </c>
      <c r="F144" s="10">
        <v>5.5603317839570412</v>
      </c>
    </row>
    <row r="145" spans="1:6" x14ac:dyDescent="0.2">
      <c r="A145" s="7">
        <v>45930</v>
      </c>
      <c r="B145" s="3" t="s">
        <v>17</v>
      </c>
      <c r="C145" s="3" t="s">
        <v>18</v>
      </c>
      <c r="D145" s="16">
        <v>2645367270</v>
      </c>
      <c r="E145" s="16">
        <v>2464163066</v>
      </c>
      <c r="F145" s="10">
        <v>6.8498694323075977</v>
      </c>
    </row>
    <row r="146" spans="1:6" x14ac:dyDescent="0.2">
      <c r="A146" s="7">
        <v>46022</v>
      </c>
      <c r="B146" s="3" t="s">
        <v>17</v>
      </c>
      <c r="C146" s="3" t="s">
        <v>18</v>
      </c>
      <c r="D146" s="16">
        <v>2896927792</v>
      </c>
      <c r="E146" s="16">
        <v>2540212424</v>
      </c>
      <c r="F146" s="10">
        <v>12.31357471128849</v>
      </c>
    </row>
    <row r="147" spans="1:6" x14ac:dyDescent="0.2">
      <c r="A147" s="7">
        <v>43921</v>
      </c>
      <c r="B147" s="3" t="s">
        <v>19</v>
      </c>
      <c r="C147" s="3" t="s">
        <v>20</v>
      </c>
      <c r="D147" s="16">
        <v>218463951</v>
      </c>
      <c r="E147" s="16">
        <v>193682536</v>
      </c>
      <c r="F147" s="10">
        <v>11.34348018817988</v>
      </c>
    </row>
    <row r="148" spans="1:6" x14ac:dyDescent="0.2">
      <c r="A148" s="7">
        <v>44012</v>
      </c>
      <c r="B148" s="3" t="s">
        <v>19</v>
      </c>
      <c r="C148" s="3" t="s">
        <v>20</v>
      </c>
      <c r="D148" s="16">
        <v>258544271</v>
      </c>
      <c r="E148" s="16">
        <v>236173699</v>
      </c>
      <c r="F148" s="10">
        <v>8.6525111979758389</v>
      </c>
    </row>
    <row r="149" spans="1:6" x14ac:dyDescent="0.2">
      <c r="A149" s="7">
        <v>44104</v>
      </c>
      <c r="B149" s="3" t="s">
        <v>19</v>
      </c>
      <c r="C149" s="3" t="s">
        <v>20</v>
      </c>
      <c r="D149" s="16">
        <v>284395050</v>
      </c>
      <c r="E149" s="16">
        <v>262210565</v>
      </c>
      <c r="F149" s="10">
        <v>7.8005875981315436</v>
      </c>
    </row>
    <row r="150" spans="1:6" x14ac:dyDescent="0.2">
      <c r="A150" s="7">
        <v>44196</v>
      </c>
      <c r="B150" s="3" t="s">
        <v>19</v>
      </c>
      <c r="C150" s="3" t="s">
        <v>20</v>
      </c>
      <c r="D150" s="16">
        <v>325119355</v>
      </c>
      <c r="E150" s="16">
        <v>303677806</v>
      </c>
      <c r="F150" s="10">
        <v>6.5949777121082196</v>
      </c>
    </row>
    <row r="151" spans="1:6" x14ac:dyDescent="0.2">
      <c r="A151" s="7">
        <v>44286</v>
      </c>
      <c r="B151" s="3" t="s">
        <v>19</v>
      </c>
      <c r="C151" s="3" t="s">
        <v>20</v>
      </c>
      <c r="D151" s="16">
        <v>334629806</v>
      </c>
      <c r="E151" s="16">
        <v>313506590</v>
      </c>
      <c r="F151" s="10">
        <v>6.3124131865288771</v>
      </c>
    </row>
    <row r="152" spans="1:6" x14ac:dyDescent="0.2">
      <c r="A152" s="7">
        <v>44377</v>
      </c>
      <c r="B152" s="3" t="s">
        <v>19</v>
      </c>
      <c r="C152" s="3" t="s">
        <v>20</v>
      </c>
      <c r="D152" s="16">
        <v>358876693</v>
      </c>
      <c r="E152" s="16">
        <v>332613307</v>
      </c>
      <c r="F152" s="10">
        <v>7.3182200216050246</v>
      </c>
    </row>
    <row r="153" spans="1:6" x14ac:dyDescent="0.2">
      <c r="A153" s="7">
        <v>44469</v>
      </c>
      <c r="B153" s="3" t="s">
        <v>19</v>
      </c>
      <c r="C153" s="3" t="s">
        <v>20</v>
      </c>
      <c r="D153" s="16">
        <v>405851749</v>
      </c>
      <c r="E153" s="16">
        <v>381295721</v>
      </c>
      <c r="F153" s="10">
        <v>6.050492097300288</v>
      </c>
    </row>
    <row r="154" spans="1:6" x14ac:dyDescent="0.2">
      <c r="A154" s="7">
        <v>44561</v>
      </c>
      <c r="B154" s="3" t="s">
        <v>19</v>
      </c>
      <c r="C154" s="3" t="s">
        <v>20</v>
      </c>
      <c r="D154" s="16">
        <v>505368596</v>
      </c>
      <c r="E154" s="16">
        <v>476308637</v>
      </c>
      <c r="F154" s="10">
        <v>5.7502502589219064</v>
      </c>
    </row>
    <row r="155" spans="1:6" x14ac:dyDescent="0.2">
      <c r="A155" s="7">
        <v>44651</v>
      </c>
      <c r="B155" s="3" t="s">
        <v>19</v>
      </c>
      <c r="C155" s="3" t="s">
        <v>20</v>
      </c>
      <c r="D155" s="16">
        <v>543957244</v>
      </c>
      <c r="E155" s="16">
        <v>515623398</v>
      </c>
      <c r="F155" s="10">
        <v>5.208836965134708</v>
      </c>
    </row>
    <row r="156" spans="1:6" x14ac:dyDescent="0.2">
      <c r="A156" s="7">
        <v>44742</v>
      </c>
      <c r="B156" s="3" t="s">
        <v>19</v>
      </c>
      <c r="C156" s="3" t="s">
        <v>20</v>
      </c>
      <c r="D156" s="16">
        <v>676990791</v>
      </c>
      <c r="E156" s="16">
        <v>650726825</v>
      </c>
      <c r="F156" s="10">
        <v>3.879515991820929</v>
      </c>
    </row>
    <row r="157" spans="1:6" x14ac:dyDescent="0.2">
      <c r="A157" s="7">
        <v>44834</v>
      </c>
      <c r="B157" s="3" t="s">
        <v>19</v>
      </c>
      <c r="C157" s="3" t="s">
        <v>20</v>
      </c>
      <c r="D157" s="16">
        <v>762118830</v>
      </c>
      <c r="E157" s="16">
        <v>733657877</v>
      </c>
      <c r="F157" s="10">
        <v>3.734450833605568</v>
      </c>
    </row>
    <row r="158" spans="1:6" x14ac:dyDescent="0.2">
      <c r="A158" s="7">
        <v>44926</v>
      </c>
      <c r="B158" s="3" t="s">
        <v>19</v>
      </c>
      <c r="C158" s="3" t="s">
        <v>20</v>
      </c>
      <c r="D158" s="16">
        <v>913248342</v>
      </c>
      <c r="E158" s="16">
        <v>878978817</v>
      </c>
      <c r="F158" s="10">
        <v>3.7524869659166602</v>
      </c>
    </row>
    <row r="159" spans="1:6" x14ac:dyDescent="0.2">
      <c r="A159" s="7">
        <v>45016</v>
      </c>
      <c r="B159" s="3" t="s">
        <v>19</v>
      </c>
      <c r="C159" s="3" t="s">
        <v>20</v>
      </c>
      <c r="D159" s="16">
        <v>1025511595</v>
      </c>
      <c r="E159" s="16">
        <v>986640625</v>
      </c>
      <c r="F159" s="10">
        <v>3.7903979037896689</v>
      </c>
    </row>
    <row r="160" spans="1:6" x14ac:dyDescent="0.2">
      <c r="A160" s="7">
        <v>45107</v>
      </c>
      <c r="B160" s="3" t="s">
        <v>19</v>
      </c>
      <c r="C160" s="3" t="s">
        <v>20</v>
      </c>
      <c r="D160" s="16">
        <v>1404229499</v>
      </c>
      <c r="E160" s="16">
        <v>1351750654</v>
      </c>
      <c r="F160" s="10">
        <v>3.7371985873656679</v>
      </c>
    </row>
    <row r="161" spans="1:6" x14ac:dyDescent="0.2">
      <c r="A161" s="7">
        <v>45199</v>
      </c>
      <c r="B161" s="3" t="s">
        <v>19</v>
      </c>
      <c r="C161" s="3" t="s">
        <v>20</v>
      </c>
      <c r="D161" s="16">
        <v>1806824456</v>
      </c>
      <c r="E161" s="16">
        <v>1739930107</v>
      </c>
      <c r="F161" s="10">
        <v>3.702315893381952</v>
      </c>
    </row>
    <row r="162" spans="1:6" x14ac:dyDescent="0.2">
      <c r="A162" s="7">
        <v>45291</v>
      </c>
      <c r="B162" s="3" t="s">
        <v>19</v>
      </c>
      <c r="C162" s="3" t="s">
        <v>20</v>
      </c>
      <c r="D162" s="16">
        <v>2449529142</v>
      </c>
      <c r="E162" s="16">
        <v>2339496622</v>
      </c>
      <c r="F162" s="10">
        <v>4.4919865664533498</v>
      </c>
    </row>
    <row r="163" spans="1:6" x14ac:dyDescent="0.2">
      <c r="A163" s="7">
        <v>45382</v>
      </c>
      <c r="B163" s="3" t="s">
        <v>19</v>
      </c>
      <c r="C163" s="3" t="s">
        <v>20</v>
      </c>
      <c r="D163" s="16">
        <v>3098629955</v>
      </c>
      <c r="E163" s="16">
        <v>3026318461</v>
      </c>
      <c r="F163" s="10">
        <v>2.3336601998349948</v>
      </c>
    </row>
    <row r="164" spans="1:6" x14ac:dyDescent="0.2">
      <c r="A164" s="7">
        <v>45473</v>
      </c>
      <c r="B164" s="3" t="s">
        <v>19</v>
      </c>
      <c r="C164" s="3" t="s">
        <v>20</v>
      </c>
      <c r="D164" s="16">
        <v>4366802705</v>
      </c>
      <c r="E164" s="16">
        <v>4287228049</v>
      </c>
      <c r="F164" s="10">
        <v>1.822263595945995</v>
      </c>
    </row>
    <row r="165" spans="1:6" x14ac:dyDescent="0.2">
      <c r="A165" s="7">
        <v>45565</v>
      </c>
      <c r="B165" s="3" t="s">
        <v>19</v>
      </c>
      <c r="C165" s="3" t="s">
        <v>20</v>
      </c>
      <c r="D165" s="16">
        <v>6276923792</v>
      </c>
      <c r="E165" s="16">
        <v>6172140627</v>
      </c>
      <c r="F165" s="10">
        <v>1.669339448306624</v>
      </c>
    </row>
    <row r="166" spans="1:6" x14ac:dyDescent="0.2">
      <c r="A166" s="7">
        <v>45657</v>
      </c>
      <c r="B166" s="3" t="s">
        <v>19</v>
      </c>
      <c r="C166" s="3" t="s">
        <v>20</v>
      </c>
      <c r="D166" s="16">
        <v>8493756003</v>
      </c>
      <c r="E166" s="16">
        <v>8325403704</v>
      </c>
      <c r="F166" s="10">
        <v>1.982071287902994</v>
      </c>
    </row>
    <row r="167" spans="1:6" x14ac:dyDescent="0.2">
      <c r="A167" s="7">
        <v>45747</v>
      </c>
      <c r="B167" s="3" t="s">
        <v>19</v>
      </c>
      <c r="C167" s="3" t="s">
        <v>20</v>
      </c>
      <c r="D167" s="16">
        <v>10382585345</v>
      </c>
      <c r="E167" s="16">
        <v>10135892387</v>
      </c>
      <c r="F167" s="10">
        <v>2.376026295982256</v>
      </c>
    </row>
    <row r="168" spans="1:6" x14ac:dyDescent="0.2">
      <c r="A168" s="7">
        <v>45838</v>
      </c>
      <c r="B168" s="3" t="s">
        <v>19</v>
      </c>
      <c r="C168" s="3" t="s">
        <v>20</v>
      </c>
      <c r="D168" s="16">
        <v>12516099335</v>
      </c>
      <c r="E168" s="16">
        <v>12161520795</v>
      </c>
      <c r="F168" s="10">
        <v>2.8329795929987318</v>
      </c>
    </row>
    <row r="169" spans="1:6" x14ac:dyDescent="0.2">
      <c r="A169" s="7">
        <v>45930</v>
      </c>
      <c r="B169" s="3" t="s">
        <v>19</v>
      </c>
      <c r="C169" s="3" t="s">
        <v>20</v>
      </c>
      <c r="D169" s="16">
        <v>13676475856</v>
      </c>
      <c r="E169" s="16">
        <v>13134627259</v>
      </c>
      <c r="F169" s="10">
        <v>3.961902193994558</v>
      </c>
    </row>
    <row r="170" spans="1:6" x14ac:dyDescent="0.2">
      <c r="A170" s="7">
        <v>46022</v>
      </c>
      <c r="B170" s="3" t="s">
        <v>19</v>
      </c>
      <c r="C170" s="3" t="s">
        <v>20</v>
      </c>
      <c r="D170" s="16">
        <v>15804593365</v>
      </c>
      <c r="E170" s="16">
        <v>14953862354</v>
      </c>
      <c r="F170" s="10">
        <v>5.3828086009728224</v>
      </c>
    </row>
    <row r="171" spans="1:6" x14ac:dyDescent="0.2">
      <c r="A171" s="7">
        <v>43921</v>
      </c>
      <c r="B171" s="3" t="s">
        <v>21</v>
      </c>
      <c r="C171" s="3" t="s">
        <v>22</v>
      </c>
      <c r="D171" s="16">
        <v>6063635</v>
      </c>
      <c r="E171" s="16">
        <v>5725533</v>
      </c>
      <c r="F171" s="10">
        <v>5.5758963064234566</v>
      </c>
    </row>
    <row r="172" spans="1:6" x14ac:dyDescent="0.2">
      <c r="A172" s="7">
        <v>44012</v>
      </c>
      <c r="B172" s="3" t="s">
        <v>21</v>
      </c>
      <c r="C172" s="3" t="s">
        <v>22</v>
      </c>
      <c r="D172" s="16">
        <v>7260912</v>
      </c>
      <c r="E172" s="16">
        <v>6855511</v>
      </c>
      <c r="F172" s="10">
        <v>5.5833344351233016</v>
      </c>
    </row>
    <row r="173" spans="1:6" x14ac:dyDescent="0.2">
      <c r="A173" s="7">
        <v>44104</v>
      </c>
      <c r="B173" s="3" t="s">
        <v>21</v>
      </c>
      <c r="C173" s="3" t="s">
        <v>22</v>
      </c>
      <c r="D173" s="16">
        <v>8901336</v>
      </c>
      <c r="E173" s="16">
        <v>8495588</v>
      </c>
      <c r="F173" s="10">
        <v>4.5582820376626607</v>
      </c>
    </row>
    <row r="174" spans="1:6" x14ac:dyDescent="0.2">
      <c r="A174" s="7">
        <v>44196</v>
      </c>
      <c r="B174" s="3" t="s">
        <v>21</v>
      </c>
      <c r="C174" s="3" t="s">
        <v>22</v>
      </c>
      <c r="D174" s="16">
        <v>10602130</v>
      </c>
      <c r="E174" s="16">
        <v>10093662</v>
      </c>
      <c r="F174" s="10">
        <v>4.79590421924651</v>
      </c>
    </row>
    <row r="175" spans="1:6" x14ac:dyDescent="0.2">
      <c r="A175" s="7">
        <v>44286</v>
      </c>
      <c r="B175" s="3" t="s">
        <v>21</v>
      </c>
      <c r="C175" s="3" t="s">
        <v>22</v>
      </c>
      <c r="D175" s="16">
        <v>9636180</v>
      </c>
      <c r="E175" s="16">
        <v>9078820</v>
      </c>
      <c r="F175" s="10">
        <v>5.784034752360375</v>
      </c>
    </row>
    <row r="176" spans="1:6" x14ac:dyDescent="0.2">
      <c r="A176" s="7">
        <v>44377</v>
      </c>
      <c r="B176" s="3" t="s">
        <v>21</v>
      </c>
      <c r="C176" s="3" t="s">
        <v>22</v>
      </c>
      <c r="D176" s="16">
        <v>9902573</v>
      </c>
      <c r="E176" s="16">
        <v>8771859</v>
      </c>
      <c r="F176" s="10">
        <v>11.41838590838967</v>
      </c>
    </row>
    <row r="177" spans="1:6" x14ac:dyDescent="0.2">
      <c r="A177" s="7">
        <v>44469</v>
      </c>
      <c r="B177" s="3" t="s">
        <v>21</v>
      </c>
      <c r="C177" s="3" t="s">
        <v>22</v>
      </c>
      <c r="D177" s="16">
        <v>11128587</v>
      </c>
      <c r="E177" s="16">
        <v>10157469</v>
      </c>
      <c r="F177" s="10">
        <v>8.7263369554463655</v>
      </c>
    </row>
    <row r="178" spans="1:6" x14ac:dyDescent="0.2">
      <c r="A178" s="7">
        <v>44561</v>
      </c>
      <c r="B178" s="3" t="s">
        <v>21</v>
      </c>
      <c r="C178" s="3" t="s">
        <v>22</v>
      </c>
      <c r="D178" s="16">
        <v>12793367</v>
      </c>
      <c r="E178" s="16">
        <v>11882257</v>
      </c>
      <c r="F178" s="10">
        <v>7.1217373815665566</v>
      </c>
    </row>
    <row r="179" spans="1:6" x14ac:dyDescent="0.2">
      <c r="A179" s="7">
        <v>44651</v>
      </c>
      <c r="B179" s="3" t="s">
        <v>21</v>
      </c>
      <c r="C179" s="3" t="s">
        <v>22</v>
      </c>
      <c r="D179" s="16">
        <v>13605510</v>
      </c>
      <c r="E179" s="16">
        <v>12747801</v>
      </c>
      <c r="F179" s="10">
        <v>6.3041297239133263</v>
      </c>
    </row>
    <row r="180" spans="1:6" x14ac:dyDescent="0.2">
      <c r="A180" s="7">
        <v>44742</v>
      </c>
      <c r="B180" s="3" t="s">
        <v>21</v>
      </c>
      <c r="C180" s="3" t="s">
        <v>22</v>
      </c>
      <c r="D180" s="16">
        <v>16840260</v>
      </c>
      <c r="E180" s="16">
        <v>16099999</v>
      </c>
      <c r="F180" s="10">
        <v>4.3957813002887134</v>
      </c>
    </row>
    <row r="181" spans="1:6" x14ac:dyDescent="0.2">
      <c r="A181" s="7">
        <v>44834</v>
      </c>
      <c r="B181" s="3" t="s">
        <v>21</v>
      </c>
      <c r="C181" s="3" t="s">
        <v>22</v>
      </c>
      <c r="D181" s="16">
        <v>19667920</v>
      </c>
      <c r="E181" s="16">
        <v>18699380</v>
      </c>
      <c r="F181" s="10">
        <v>4.9244658306521476</v>
      </c>
    </row>
    <row r="182" spans="1:6" x14ac:dyDescent="0.2">
      <c r="A182" s="7">
        <v>44926</v>
      </c>
      <c r="B182" s="3" t="s">
        <v>21</v>
      </c>
      <c r="C182" s="3" t="s">
        <v>22</v>
      </c>
      <c r="D182" s="16">
        <v>22247721</v>
      </c>
      <c r="E182" s="16">
        <v>21233830</v>
      </c>
      <c r="F182" s="10">
        <v>4.5572802715388248</v>
      </c>
    </row>
    <row r="183" spans="1:6" x14ac:dyDescent="0.2">
      <c r="A183" s="7">
        <v>45016</v>
      </c>
      <c r="B183" s="3" t="s">
        <v>21</v>
      </c>
      <c r="C183" s="3" t="s">
        <v>22</v>
      </c>
      <c r="D183" s="16">
        <v>29433781</v>
      </c>
      <c r="E183" s="16">
        <v>28311699</v>
      </c>
      <c r="F183" s="10">
        <v>3.8122251436198429</v>
      </c>
    </row>
    <row r="184" spans="1:6" x14ac:dyDescent="0.2">
      <c r="A184" s="7">
        <v>45107</v>
      </c>
      <c r="B184" s="3" t="s">
        <v>21</v>
      </c>
      <c r="C184" s="3" t="s">
        <v>22</v>
      </c>
      <c r="D184" s="16">
        <v>39313081</v>
      </c>
      <c r="E184" s="16">
        <v>37185894</v>
      </c>
      <c r="F184" s="10">
        <v>5.4108885538632796</v>
      </c>
    </row>
    <row r="185" spans="1:6" x14ac:dyDescent="0.2">
      <c r="A185" s="7">
        <v>45199</v>
      </c>
      <c r="B185" s="3" t="s">
        <v>21</v>
      </c>
      <c r="C185" s="3" t="s">
        <v>22</v>
      </c>
      <c r="D185" s="16">
        <v>50328605</v>
      </c>
      <c r="E185" s="16">
        <v>48381015</v>
      </c>
      <c r="F185" s="10">
        <v>3.8697476315904251</v>
      </c>
    </row>
    <row r="186" spans="1:6" x14ac:dyDescent="0.2">
      <c r="A186" s="7">
        <v>45291</v>
      </c>
      <c r="B186" s="3" t="s">
        <v>21</v>
      </c>
      <c r="C186" s="3" t="s">
        <v>22</v>
      </c>
      <c r="D186" s="16">
        <v>67001451</v>
      </c>
      <c r="E186" s="16">
        <v>63629307</v>
      </c>
      <c r="F186" s="10">
        <v>5.0329417492764454</v>
      </c>
    </row>
    <row r="187" spans="1:6" x14ac:dyDescent="0.2">
      <c r="A187" s="7">
        <v>45382</v>
      </c>
      <c r="B187" s="3" t="s">
        <v>21</v>
      </c>
      <c r="C187" s="3" t="s">
        <v>22</v>
      </c>
      <c r="D187" s="16">
        <v>83813593</v>
      </c>
      <c r="E187" s="16">
        <v>80134374</v>
      </c>
      <c r="F187" s="10">
        <v>4.3897640803920677</v>
      </c>
    </row>
    <row r="188" spans="1:6" x14ac:dyDescent="0.2">
      <c r="A188" s="7">
        <v>45473</v>
      </c>
      <c r="B188" s="3" t="s">
        <v>21</v>
      </c>
      <c r="C188" s="3" t="s">
        <v>22</v>
      </c>
      <c r="D188" s="16">
        <v>120004127</v>
      </c>
      <c r="E188" s="16">
        <v>115265765</v>
      </c>
      <c r="F188" s="10">
        <v>3.9484992045315241</v>
      </c>
    </row>
    <row r="189" spans="1:6" x14ac:dyDescent="0.2">
      <c r="A189" s="7">
        <v>45565</v>
      </c>
      <c r="B189" s="3" t="s">
        <v>21</v>
      </c>
      <c r="C189" s="3" t="s">
        <v>22</v>
      </c>
      <c r="D189" s="16">
        <v>188446415</v>
      </c>
      <c r="E189" s="16">
        <v>182246802</v>
      </c>
      <c r="F189" s="10">
        <v>3.2898545721870058</v>
      </c>
    </row>
    <row r="190" spans="1:6" x14ac:dyDescent="0.2">
      <c r="A190" s="7">
        <v>45657</v>
      </c>
      <c r="B190" s="3" t="s">
        <v>21</v>
      </c>
      <c r="C190" s="3" t="s">
        <v>22</v>
      </c>
      <c r="D190" s="16">
        <v>246755954</v>
      </c>
      <c r="E190" s="16">
        <v>234938649</v>
      </c>
      <c r="F190" s="10">
        <v>4.7890657989958774</v>
      </c>
    </row>
    <row r="191" spans="1:6" x14ac:dyDescent="0.2">
      <c r="A191" s="7">
        <v>45747</v>
      </c>
      <c r="B191" s="3" t="s">
        <v>21</v>
      </c>
      <c r="C191" s="3" t="s">
        <v>22</v>
      </c>
      <c r="D191" s="16">
        <v>286886865</v>
      </c>
      <c r="E191" s="16">
        <v>269006486</v>
      </c>
      <c r="F191" s="10">
        <v>6.2325540766740923</v>
      </c>
    </row>
    <row r="192" spans="1:6" x14ac:dyDescent="0.2">
      <c r="A192" s="7">
        <v>45838</v>
      </c>
      <c r="B192" s="3" t="s">
        <v>21</v>
      </c>
      <c r="C192" s="3" t="s">
        <v>22</v>
      </c>
      <c r="D192" s="16">
        <v>377879965</v>
      </c>
      <c r="E192" s="16">
        <v>348850575</v>
      </c>
      <c r="F192" s="10">
        <v>7.6821723004023248</v>
      </c>
    </row>
    <row r="193" spans="1:6" x14ac:dyDescent="0.2">
      <c r="A193" s="7">
        <v>45930</v>
      </c>
      <c r="B193" s="3" t="s">
        <v>21</v>
      </c>
      <c r="C193" s="3" t="s">
        <v>22</v>
      </c>
      <c r="D193" s="16">
        <v>389980011</v>
      </c>
      <c r="E193" s="16">
        <v>348823332</v>
      </c>
      <c r="F193" s="10">
        <v>10.55353552467078</v>
      </c>
    </row>
    <row r="194" spans="1:6" x14ac:dyDescent="0.2">
      <c r="A194" s="7">
        <v>46022</v>
      </c>
      <c r="B194" s="3" t="s">
        <v>21</v>
      </c>
      <c r="C194" s="3" t="s">
        <v>22</v>
      </c>
      <c r="D194" s="16">
        <v>435575497</v>
      </c>
      <c r="E194" s="16">
        <v>382342854</v>
      </c>
      <c r="F194" s="10">
        <v>12.221220745114589</v>
      </c>
    </row>
    <row r="195" spans="1:6" x14ac:dyDescent="0.2">
      <c r="A195" s="7">
        <v>43921</v>
      </c>
      <c r="B195" s="3" t="s">
        <v>23</v>
      </c>
      <c r="C195" s="3" t="s">
        <v>24</v>
      </c>
      <c r="D195" s="16">
        <v>59234968</v>
      </c>
      <c r="E195" s="16">
        <v>56366857</v>
      </c>
      <c r="F195" s="10">
        <v>4.8419220889931092</v>
      </c>
    </row>
    <row r="196" spans="1:6" x14ac:dyDescent="0.2">
      <c r="A196" s="7">
        <v>44012</v>
      </c>
      <c r="B196" s="3" t="s">
        <v>23</v>
      </c>
      <c r="C196" s="3" t="s">
        <v>24</v>
      </c>
      <c r="D196" s="16">
        <v>68179842</v>
      </c>
      <c r="E196" s="16">
        <v>65103315</v>
      </c>
      <c r="F196" s="10">
        <v>4.5123703865432834</v>
      </c>
    </row>
    <row r="197" spans="1:6" x14ac:dyDescent="0.2">
      <c r="A197" s="7">
        <v>44104</v>
      </c>
      <c r="B197" s="3" t="s">
        <v>23</v>
      </c>
      <c r="C197" s="3" t="s">
        <v>24</v>
      </c>
      <c r="D197" s="16">
        <v>65859902</v>
      </c>
      <c r="E197" s="16">
        <v>63224253</v>
      </c>
      <c r="F197" s="10">
        <v>4.0019024018590246</v>
      </c>
    </row>
    <row r="198" spans="1:6" x14ac:dyDescent="0.2">
      <c r="A198" s="7">
        <v>44196</v>
      </c>
      <c r="B198" s="3" t="s">
        <v>23</v>
      </c>
      <c r="C198" s="3" t="s">
        <v>24</v>
      </c>
      <c r="D198" s="16">
        <v>75641639</v>
      </c>
      <c r="E198" s="16">
        <v>72632379</v>
      </c>
      <c r="F198" s="10">
        <v>3.978311469427573</v>
      </c>
    </row>
    <row r="199" spans="1:6" x14ac:dyDescent="0.2">
      <c r="A199" s="7">
        <v>44286</v>
      </c>
      <c r="B199" s="3" t="s">
        <v>23</v>
      </c>
      <c r="C199" s="3" t="s">
        <v>24</v>
      </c>
      <c r="D199" s="16">
        <v>75794744</v>
      </c>
      <c r="E199" s="16">
        <v>72777110</v>
      </c>
      <c r="F199" s="10">
        <v>3.9813235598500079</v>
      </c>
    </row>
    <row r="200" spans="1:6" x14ac:dyDescent="0.2">
      <c r="A200" s="7">
        <v>44377</v>
      </c>
      <c r="B200" s="3" t="s">
        <v>23</v>
      </c>
      <c r="C200" s="3" t="s">
        <v>24</v>
      </c>
      <c r="D200" s="16">
        <v>82629172</v>
      </c>
      <c r="E200" s="16">
        <v>78201928</v>
      </c>
      <c r="F200" s="10">
        <v>5.3579672806112599</v>
      </c>
    </row>
    <row r="201" spans="1:6" x14ac:dyDescent="0.2">
      <c r="A201" s="7">
        <v>44469</v>
      </c>
      <c r="B201" s="3" t="s">
        <v>23</v>
      </c>
      <c r="C201" s="3" t="s">
        <v>24</v>
      </c>
      <c r="D201" s="16">
        <v>91362267</v>
      </c>
      <c r="E201" s="16">
        <v>87124136</v>
      </c>
      <c r="F201" s="10">
        <v>4.6388198751679397</v>
      </c>
    </row>
    <row r="202" spans="1:6" x14ac:dyDescent="0.2">
      <c r="A202" s="7">
        <v>44561</v>
      </c>
      <c r="B202" s="3" t="s">
        <v>23</v>
      </c>
      <c r="C202" s="3" t="s">
        <v>24</v>
      </c>
      <c r="D202" s="16">
        <v>108709338</v>
      </c>
      <c r="E202" s="16">
        <v>104650055</v>
      </c>
      <c r="F202" s="10">
        <v>3.7340702047141519</v>
      </c>
    </row>
    <row r="203" spans="1:6" x14ac:dyDescent="0.2">
      <c r="A203" s="7">
        <v>44651</v>
      </c>
      <c r="B203" s="3" t="s">
        <v>23</v>
      </c>
      <c r="C203" s="3" t="s">
        <v>24</v>
      </c>
      <c r="D203" s="16">
        <v>128599327</v>
      </c>
      <c r="E203" s="16">
        <v>124208701</v>
      </c>
      <c r="F203" s="10">
        <v>3.414190495724756</v>
      </c>
    </row>
    <row r="204" spans="1:6" x14ac:dyDescent="0.2">
      <c r="A204" s="7">
        <v>44742</v>
      </c>
      <c r="B204" s="3" t="s">
        <v>23</v>
      </c>
      <c r="C204" s="3" t="s">
        <v>24</v>
      </c>
      <c r="D204" s="16">
        <v>148184273</v>
      </c>
      <c r="E204" s="16">
        <v>143739897</v>
      </c>
      <c r="F204" s="10">
        <v>2.9992224613471632</v>
      </c>
    </row>
    <row r="205" spans="1:6" x14ac:dyDescent="0.2">
      <c r="A205" s="7">
        <v>44834</v>
      </c>
      <c r="B205" s="3" t="s">
        <v>23</v>
      </c>
      <c r="C205" s="3" t="s">
        <v>24</v>
      </c>
      <c r="D205" s="16">
        <v>159142111</v>
      </c>
      <c r="E205" s="16">
        <v>154715565</v>
      </c>
      <c r="F205" s="10">
        <v>2.781505141652922</v>
      </c>
    </row>
    <row r="206" spans="1:6" x14ac:dyDescent="0.2">
      <c r="A206" s="7">
        <v>44926</v>
      </c>
      <c r="B206" s="3" t="s">
        <v>23</v>
      </c>
      <c r="C206" s="3" t="s">
        <v>24</v>
      </c>
      <c r="D206" s="16">
        <v>187916752</v>
      </c>
      <c r="E206" s="16">
        <v>182427082</v>
      </c>
      <c r="F206" s="10">
        <v>2.921330824193896</v>
      </c>
    </row>
    <row r="207" spans="1:6" x14ac:dyDescent="0.2">
      <c r="A207" s="7">
        <v>45016</v>
      </c>
      <c r="B207" s="3" t="s">
        <v>23</v>
      </c>
      <c r="C207" s="3" t="s">
        <v>24</v>
      </c>
      <c r="D207" s="16">
        <v>237312482</v>
      </c>
      <c r="E207" s="16">
        <v>229726323</v>
      </c>
      <c r="F207" s="10">
        <v>3.1966961602972068</v>
      </c>
    </row>
    <row r="208" spans="1:6" x14ac:dyDescent="0.2">
      <c r="A208" s="7">
        <v>45107</v>
      </c>
      <c r="B208" s="3" t="s">
        <v>23</v>
      </c>
      <c r="C208" s="3" t="s">
        <v>24</v>
      </c>
      <c r="D208" s="16">
        <v>309470452</v>
      </c>
      <c r="E208" s="16">
        <v>299769163</v>
      </c>
      <c r="F208" s="10">
        <v>3.134802995666933</v>
      </c>
    </row>
    <row r="209" spans="1:6" x14ac:dyDescent="0.2">
      <c r="A209" s="7">
        <v>45199</v>
      </c>
      <c r="B209" s="3" t="s">
        <v>23</v>
      </c>
      <c r="C209" s="3" t="s">
        <v>24</v>
      </c>
      <c r="D209" s="16">
        <v>363798137</v>
      </c>
      <c r="E209" s="16">
        <v>353351638</v>
      </c>
      <c r="F209" s="10">
        <v>2.871509757071681</v>
      </c>
    </row>
    <row r="210" spans="1:6" x14ac:dyDescent="0.2">
      <c r="A210" s="7">
        <v>45291</v>
      </c>
      <c r="B210" s="3" t="s">
        <v>23</v>
      </c>
      <c r="C210" s="3" t="s">
        <v>24</v>
      </c>
      <c r="D210" s="16">
        <v>496896594</v>
      </c>
      <c r="E210" s="16">
        <v>477021775</v>
      </c>
      <c r="F210" s="10">
        <v>3.9997897429741691</v>
      </c>
    </row>
    <row r="211" spans="1:6" x14ac:dyDescent="0.2">
      <c r="A211" s="7">
        <v>45382</v>
      </c>
      <c r="B211" s="3" t="s">
        <v>23</v>
      </c>
      <c r="C211" s="3" t="s">
        <v>24</v>
      </c>
      <c r="D211" s="16">
        <v>695711368</v>
      </c>
      <c r="E211" s="16">
        <v>672723192</v>
      </c>
      <c r="F211" s="10">
        <v>3.304269134782917</v>
      </c>
    </row>
    <row r="212" spans="1:6" x14ac:dyDescent="0.2">
      <c r="A212" s="7">
        <v>45473</v>
      </c>
      <c r="B212" s="3" t="s">
        <v>23</v>
      </c>
      <c r="C212" s="3" t="s">
        <v>24</v>
      </c>
      <c r="D212" s="16">
        <v>1050457727</v>
      </c>
      <c r="E212" s="16">
        <v>1019085077</v>
      </c>
      <c r="F212" s="10">
        <v>2.986569491910644</v>
      </c>
    </row>
    <row r="213" spans="1:6" x14ac:dyDescent="0.2">
      <c r="A213" s="7">
        <v>45565</v>
      </c>
      <c r="B213" s="3" t="s">
        <v>23</v>
      </c>
      <c r="C213" s="3" t="s">
        <v>24</v>
      </c>
      <c r="D213" s="16">
        <v>1466701377</v>
      </c>
      <c r="E213" s="16">
        <v>1435318655</v>
      </c>
      <c r="F213" s="10">
        <v>2.1396804074862472</v>
      </c>
    </row>
    <row r="214" spans="1:6" x14ac:dyDescent="0.2">
      <c r="A214" s="7">
        <v>45657</v>
      </c>
      <c r="B214" s="3" t="s">
        <v>23</v>
      </c>
      <c r="C214" s="3" t="s">
        <v>24</v>
      </c>
      <c r="D214" s="16">
        <v>1827388917</v>
      </c>
      <c r="E214" s="16">
        <v>1782681317</v>
      </c>
      <c r="F214" s="10">
        <v>2.4465290110982978</v>
      </c>
    </row>
    <row r="215" spans="1:6" x14ac:dyDescent="0.2">
      <c r="A215" s="7">
        <v>45747</v>
      </c>
      <c r="B215" s="3" t="s">
        <v>23</v>
      </c>
      <c r="C215" s="3" t="s">
        <v>24</v>
      </c>
      <c r="D215" s="16">
        <v>2260298232</v>
      </c>
      <c r="E215" s="16">
        <v>2191766187</v>
      </c>
      <c r="F215" s="10">
        <v>3.031991266894023</v>
      </c>
    </row>
    <row r="216" spans="1:6" x14ac:dyDescent="0.2">
      <c r="A216" s="7">
        <v>45838</v>
      </c>
      <c r="B216" s="3" t="s">
        <v>23</v>
      </c>
      <c r="C216" s="3" t="s">
        <v>24</v>
      </c>
      <c r="D216" s="16">
        <v>2779970729</v>
      </c>
      <c r="E216" s="16">
        <v>2647891747</v>
      </c>
      <c r="F216" s="10">
        <v>4.7510925428884256</v>
      </c>
    </row>
    <row r="217" spans="1:6" x14ac:dyDescent="0.2">
      <c r="A217" s="7">
        <v>45930</v>
      </c>
      <c r="B217" s="3" t="s">
        <v>23</v>
      </c>
      <c r="C217" s="3" t="s">
        <v>24</v>
      </c>
      <c r="D217" s="16">
        <v>3156818782</v>
      </c>
      <c r="E217" s="16">
        <v>2956325367</v>
      </c>
      <c r="F217" s="10">
        <v>6.3511220898457008</v>
      </c>
    </row>
    <row r="218" spans="1:6" x14ac:dyDescent="0.2">
      <c r="A218" s="7">
        <v>46022</v>
      </c>
      <c r="B218" s="3" t="s">
        <v>23</v>
      </c>
      <c r="C218" s="3" t="s">
        <v>24</v>
      </c>
      <c r="D218" s="16">
        <v>3493415148</v>
      </c>
      <c r="E218" s="16">
        <v>3223719253</v>
      </c>
      <c r="F218" s="10">
        <v>7.7201215307720421</v>
      </c>
    </row>
    <row r="219" spans="1:6" x14ac:dyDescent="0.2">
      <c r="A219" s="7">
        <v>43921</v>
      </c>
      <c r="B219" s="3" t="s">
        <v>25</v>
      </c>
      <c r="C219" s="3" t="s">
        <v>26</v>
      </c>
      <c r="D219" s="16">
        <v>82899013</v>
      </c>
      <c r="E219" s="16">
        <v>79635762</v>
      </c>
      <c r="F219" s="10">
        <v>3.9364171923253179</v>
      </c>
    </row>
    <row r="220" spans="1:6" x14ac:dyDescent="0.2">
      <c r="A220" s="7">
        <v>44012</v>
      </c>
      <c r="B220" s="3" t="s">
        <v>25</v>
      </c>
      <c r="C220" s="3" t="s">
        <v>26</v>
      </c>
      <c r="D220" s="16">
        <v>80432080</v>
      </c>
      <c r="E220" s="16">
        <v>77985797</v>
      </c>
      <c r="F220" s="10">
        <v>3.0414270027581041</v>
      </c>
    </row>
    <row r="221" spans="1:6" x14ac:dyDescent="0.2">
      <c r="A221" s="7">
        <v>44104</v>
      </c>
      <c r="B221" s="3" t="s">
        <v>25</v>
      </c>
      <c r="C221" s="3" t="s">
        <v>26</v>
      </c>
      <c r="D221" s="16">
        <v>71024467</v>
      </c>
      <c r="E221" s="16">
        <v>69783747</v>
      </c>
      <c r="F221" s="10">
        <v>1.7468909692768271</v>
      </c>
    </row>
    <row r="222" spans="1:6" x14ac:dyDescent="0.2">
      <c r="A222" s="7">
        <v>44196</v>
      </c>
      <c r="B222" s="3" t="s">
        <v>25</v>
      </c>
      <c r="C222" s="3" t="s">
        <v>26</v>
      </c>
      <c r="D222" s="16">
        <v>91626650</v>
      </c>
      <c r="E222" s="16">
        <v>89934056</v>
      </c>
      <c r="F222" s="10">
        <v>1.847272600275139</v>
      </c>
    </row>
    <row r="223" spans="1:6" x14ac:dyDescent="0.2">
      <c r="A223" s="7">
        <v>44286</v>
      </c>
      <c r="B223" s="3" t="s">
        <v>25</v>
      </c>
      <c r="C223" s="3" t="s">
        <v>26</v>
      </c>
      <c r="D223" s="16">
        <v>88535210</v>
      </c>
      <c r="E223" s="16">
        <v>87134474</v>
      </c>
      <c r="F223" s="10">
        <v>1.5821230897854079</v>
      </c>
    </row>
    <row r="224" spans="1:6" x14ac:dyDescent="0.2">
      <c r="A224" s="7">
        <v>44377</v>
      </c>
      <c r="B224" s="3" t="s">
        <v>25</v>
      </c>
      <c r="C224" s="3" t="s">
        <v>26</v>
      </c>
      <c r="D224" s="16">
        <v>94294192</v>
      </c>
      <c r="E224" s="16">
        <v>92700677</v>
      </c>
      <c r="F224" s="10">
        <v>1.689939715481098</v>
      </c>
    </row>
    <row r="225" spans="1:6" x14ac:dyDescent="0.2">
      <c r="A225" s="7">
        <v>44469</v>
      </c>
      <c r="B225" s="3" t="s">
        <v>25</v>
      </c>
      <c r="C225" s="3" t="s">
        <v>26</v>
      </c>
      <c r="D225" s="16">
        <v>107092126</v>
      </c>
      <c r="E225" s="16">
        <v>105216134</v>
      </c>
      <c r="F225" s="10">
        <v>1.751755306454557</v>
      </c>
    </row>
    <row r="226" spans="1:6" x14ac:dyDescent="0.2">
      <c r="A226" s="7">
        <v>44561</v>
      </c>
      <c r="B226" s="3" t="s">
        <v>25</v>
      </c>
      <c r="C226" s="3" t="s">
        <v>26</v>
      </c>
      <c r="D226" s="16">
        <v>141823531</v>
      </c>
      <c r="E226" s="16">
        <v>137782586</v>
      </c>
      <c r="F226" s="10">
        <v>2.8492768241681978</v>
      </c>
    </row>
    <row r="227" spans="1:6" x14ac:dyDescent="0.2">
      <c r="A227" s="7">
        <v>44651</v>
      </c>
      <c r="B227" s="3" t="s">
        <v>25</v>
      </c>
      <c r="C227" s="3" t="s">
        <v>26</v>
      </c>
      <c r="D227" s="16">
        <v>147736846</v>
      </c>
      <c r="E227" s="16">
        <v>141851410</v>
      </c>
      <c r="F227" s="10">
        <v>3.9837292857869731</v>
      </c>
    </row>
    <row r="228" spans="1:6" x14ac:dyDescent="0.2">
      <c r="A228" s="7">
        <v>44742</v>
      </c>
      <c r="B228" s="3" t="s">
        <v>25</v>
      </c>
      <c r="C228" s="3" t="s">
        <v>26</v>
      </c>
      <c r="D228" s="16">
        <v>188945177</v>
      </c>
      <c r="E228" s="16">
        <v>183667712</v>
      </c>
      <c r="F228" s="10">
        <v>2.7931197206478582</v>
      </c>
    </row>
    <row r="229" spans="1:6" x14ac:dyDescent="0.2">
      <c r="A229" s="7">
        <v>44834</v>
      </c>
      <c r="B229" s="3" t="s">
        <v>25</v>
      </c>
      <c r="C229" s="3" t="s">
        <v>26</v>
      </c>
      <c r="D229" s="16">
        <v>206626399</v>
      </c>
      <c r="E229" s="16">
        <v>199513241</v>
      </c>
      <c r="F229" s="10">
        <v>3.4425213982459231</v>
      </c>
    </row>
    <row r="230" spans="1:6" x14ac:dyDescent="0.2">
      <c r="A230" s="7">
        <v>44926</v>
      </c>
      <c r="B230" s="3" t="s">
        <v>25</v>
      </c>
      <c r="C230" s="3" t="s">
        <v>26</v>
      </c>
      <c r="D230" s="16">
        <v>216264710</v>
      </c>
      <c r="E230" s="16">
        <v>212248304</v>
      </c>
      <c r="F230" s="10">
        <v>1.8571712416695261</v>
      </c>
    </row>
    <row r="231" spans="1:6" x14ac:dyDescent="0.2">
      <c r="A231" s="7">
        <v>45016</v>
      </c>
      <c r="B231" s="3" t="s">
        <v>25</v>
      </c>
      <c r="C231" s="3" t="s">
        <v>26</v>
      </c>
      <c r="D231" s="16">
        <v>214999533</v>
      </c>
      <c r="E231" s="16">
        <v>209674063</v>
      </c>
      <c r="F231" s="10">
        <v>2.476968170902957</v>
      </c>
    </row>
    <row r="232" spans="1:6" x14ac:dyDescent="0.2">
      <c r="A232" s="7">
        <v>45107</v>
      </c>
      <c r="B232" s="3" t="s">
        <v>25</v>
      </c>
      <c r="C232" s="3" t="s">
        <v>26</v>
      </c>
      <c r="D232" s="16">
        <v>277154712</v>
      </c>
      <c r="E232" s="16">
        <v>273635662</v>
      </c>
      <c r="F232" s="10">
        <v>1.269705997277073</v>
      </c>
    </row>
    <row r="233" spans="1:6" x14ac:dyDescent="0.2">
      <c r="A233" s="7">
        <v>45199</v>
      </c>
      <c r="B233" s="3" t="s">
        <v>25</v>
      </c>
      <c r="C233" s="3" t="s">
        <v>26</v>
      </c>
      <c r="D233" s="16">
        <v>352845827</v>
      </c>
      <c r="E233" s="16">
        <v>337449787</v>
      </c>
      <c r="F233" s="10">
        <v>4.3633901329942608</v>
      </c>
    </row>
    <row r="234" spans="1:6" x14ac:dyDescent="0.2">
      <c r="A234" s="7">
        <v>45291</v>
      </c>
      <c r="B234" s="3" t="s">
        <v>25</v>
      </c>
      <c r="C234" s="3" t="s">
        <v>26</v>
      </c>
      <c r="D234" s="16">
        <v>559906441</v>
      </c>
      <c r="E234" s="16">
        <v>546605949</v>
      </c>
      <c r="F234" s="10">
        <v>2.3754847285280651</v>
      </c>
    </row>
    <row r="235" spans="1:6" x14ac:dyDescent="0.2">
      <c r="A235" s="7">
        <v>45382</v>
      </c>
      <c r="B235" s="3" t="s">
        <v>25</v>
      </c>
      <c r="C235" s="3" t="s">
        <v>26</v>
      </c>
      <c r="D235" s="16">
        <v>617906725</v>
      </c>
      <c r="E235" s="16">
        <v>609380013</v>
      </c>
      <c r="F235" s="10">
        <v>1.37993513503191</v>
      </c>
    </row>
    <row r="236" spans="1:6" x14ac:dyDescent="0.2">
      <c r="A236" s="7">
        <v>45473</v>
      </c>
      <c r="B236" s="3" t="s">
        <v>25</v>
      </c>
      <c r="C236" s="3" t="s">
        <v>26</v>
      </c>
      <c r="D236" s="16">
        <v>1347839059</v>
      </c>
      <c r="E236" s="16">
        <v>1333596651</v>
      </c>
      <c r="F236" s="10">
        <v>1.056684617120893</v>
      </c>
    </row>
    <row r="237" spans="1:6" x14ac:dyDescent="0.2">
      <c r="A237" s="7">
        <v>45565</v>
      </c>
      <c r="B237" s="3" t="s">
        <v>25</v>
      </c>
      <c r="C237" s="3" t="s">
        <v>26</v>
      </c>
      <c r="D237" s="16">
        <v>1819968663</v>
      </c>
      <c r="E237" s="16">
        <v>1814229925</v>
      </c>
      <c r="F237" s="10">
        <v>0.31532070395873618</v>
      </c>
    </row>
    <row r="238" spans="1:6" x14ac:dyDescent="0.2">
      <c r="A238" s="7">
        <v>45657</v>
      </c>
      <c r="B238" s="3" t="s">
        <v>25</v>
      </c>
      <c r="C238" s="3" t="s">
        <v>26</v>
      </c>
      <c r="D238" s="16">
        <v>2659217887</v>
      </c>
      <c r="E238" s="16">
        <v>2649078839</v>
      </c>
      <c r="F238" s="10">
        <v>0.38127932463023478</v>
      </c>
    </row>
    <row r="239" spans="1:6" x14ac:dyDescent="0.2">
      <c r="A239" s="7">
        <v>45747</v>
      </c>
      <c r="B239" s="3" t="s">
        <v>25</v>
      </c>
      <c r="C239" s="3" t="s">
        <v>26</v>
      </c>
      <c r="D239" s="16">
        <v>2898544251</v>
      </c>
      <c r="E239" s="16">
        <v>2841951968</v>
      </c>
      <c r="F239" s="10">
        <v>1.9524381240850679</v>
      </c>
    </row>
    <row r="240" spans="1:6" x14ac:dyDescent="0.2">
      <c r="A240" s="7">
        <v>45838</v>
      </c>
      <c r="B240" s="3" t="s">
        <v>25</v>
      </c>
      <c r="C240" s="3" t="s">
        <v>26</v>
      </c>
      <c r="D240" s="16">
        <v>4195722009</v>
      </c>
      <c r="E240" s="16">
        <v>4168776585</v>
      </c>
      <c r="F240" s="10">
        <v>0.6422118515526275</v>
      </c>
    </row>
    <row r="241" spans="1:6" x14ac:dyDescent="0.2">
      <c r="A241" s="7">
        <v>45930</v>
      </c>
      <c r="B241" s="3" t="s">
        <v>25</v>
      </c>
      <c r="C241" s="3" t="s">
        <v>26</v>
      </c>
      <c r="D241" s="16">
        <v>4784543318</v>
      </c>
      <c r="E241" s="16">
        <v>4763842227</v>
      </c>
      <c r="F241" s="10">
        <v>0.43266597508105159</v>
      </c>
    </row>
    <row r="242" spans="1:6" x14ac:dyDescent="0.2">
      <c r="A242" s="7">
        <v>46022</v>
      </c>
      <c r="B242" s="3" t="s">
        <v>25</v>
      </c>
      <c r="C242" s="3" t="s">
        <v>26</v>
      </c>
      <c r="D242" s="16">
        <v>5602561377</v>
      </c>
      <c r="E242" s="16">
        <v>5583319053</v>
      </c>
      <c r="F242" s="10">
        <v>0.34345583573604099</v>
      </c>
    </row>
    <row r="243" spans="1:6" x14ac:dyDescent="0.2">
      <c r="A243" s="7">
        <v>43921</v>
      </c>
      <c r="B243" s="3" t="s">
        <v>27</v>
      </c>
      <c r="C243" s="3" t="s">
        <v>28</v>
      </c>
      <c r="D243" s="16">
        <v>58916640</v>
      </c>
      <c r="E243" s="16">
        <v>55151086</v>
      </c>
      <c r="F243" s="10">
        <v>6.3913250993267781</v>
      </c>
    </row>
    <row r="244" spans="1:6" x14ac:dyDescent="0.2">
      <c r="A244" s="7">
        <v>44012</v>
      </c>
      <c r="B244" s="3" t="s">
        <v>27</v>
      </c>
      <c r="C244" s="3" t="s">
        <v>28</v>
      </c>
      <c r="D244" s="16">
        <v>74525825</v>
      </c>
      <c r="E244" s="16">
        <v>71510421</v>
      </c>
      <c r="F244" s="10">
        <v>4.0461195833793182</v>
      </c>
    </row>
    <row r="245" spans="1:6" x14ac:dyDescent="0.2">
      <c r="A245" s="7">
        <v>44104</v>
      </c>
      <c r="B245" s="3" t="s">
        <v>27</v>
      </c>
      <c r="C245" s="3" t="s">
        <v>28</v>
      </c>
      <c r="D245" s="16">
        <v>82130511</v>
      </c>
      <c r="E245" s="16">
        <v>79155701</v>
      </c>
      <c r="F245" s="10">
        <v>3.6220522236857868</v>
      </c>
    </row>
    <row r="246" spans="1:6" x14ac:dyDescent="0.2">
      <c r="A246" s="7">
        <v>44196</v>
      </c>
      <c r="B246" s="3" t="s">
        <v>27</v>
      </c>
      <c r="C246" s="3" t="s">
        <v>28</v>
      </c>
      <c r="D246" s="16">
        <v>100875459</v>
      </c>
      <c r="E246" s="16">
        <v>98151548</v>
      </c>
      <c r="F246" s="10">
        <v>2.7002712324709219</v>
      </c>
    </row>
    <row r="247" spans="1:6" x14ac:dyDescent="0.2">
      <c r="A247" s="7">
        <v>44286</v>
      </c>
      <c r="B247" s="3" t="s">
        <v>27</v>
      </c>
      <c r="C247" s="3" t="s">
        <v>28</v>
      </c>
      <c r="D247" s="16">
        <v>108396218</v>
      </c>
      <c r="E247" s="16">
        <v>105087488</v>
      </c>
      <c r="F247" s="10">
        <v>3.0524404458465511</v>
      </c>
    </row>
    <row r="248" spans="1:6" x14ac:dyDescent="0.2">
      <c r="A248" s="7">
        <v>44377</v>
      </c>
      <c r="B248" s="3" t="s">
        <v>27</v>
      </c>
      <c r="C248" s="3" t="s">
        <v>28</v>
      </c>
      <c r="D248" s="16">
        <v>114458363</v>
      </c>
      <c r="E248" s="16">
        <v>108865756</v>
      </c>
      <c r="F248" s="10">
        <v>4.8861497346419327</v>
      </c>
    </row>
    <row r="249" spans="1:6" x14ac:dyDescent="0.2">
      <c r="A249" s="7">
        <v>44469</v>
      </c>
      <c r="B249" s="3" t="s">
        <v>27</v>
      </c>
      <c r="C249" s="3" t="s">
        <v>28</v>
      </c>
      <c r="D249" s="16">
        <v>122478412</v>
      </c>
      <c r="E249" s="16">
        <v>117202173</v>
      </c>
      <c r="F249" s="10">
        <v>4.3078930513893336</v>
      </c>
    </row>
    <row r="250" spans="1:6" x14ac:dyDescent="0.2">
      <c r="A250" s="7">
        <v>44561</v>
      </c>
      <c r="B250" s="3" t="s">
        <v>27</v>
      </c>
      <c r="C250" s="3" t="s">
        <v>28</v>
      </c>
      <c r="D250" s="16">
        <v>160691375</v>
      </c>
      <c r="E250" s="16">
        <v>154410620</v>
      </c>
      <c r="F250" s="10">
        <v>3.908582523486404</v>
      </c>
    </row>
    <row r="251" spans="1:6" x14ac:dyDescent="0.2">
      <c r="A251" s="7">
        <v>44651</v>
      </c>
      <c r="B251" s="3" t="s">
        <v>27</v>
      </c>
      <c r="C251" s="3" t="s">
        <v>28</v>
      </c>
      <c r="D251" s="16">
        <v>162180552</v>
      </c>
      <c r="E251" s="16">
        <v>156210133</v>
      </c>
      <c r="F251" s="10">
        <v>3.6813409045493941</v>
      </c>
    </row>
    <row r="252" spans="1:6" x14ac:dyDescent="0.2">
      <c r="A252" s="7">
        <v>44742</v>
      </c>
      <c r="B252" s="3" t="s">
        <v>27</v>
      </c>
      <c r="C252" s="3" t="s">
        <v>28</v>
      </c>
      <c r="D252" s="16">
        <v>182577518</v>
      </c>
      <c r="E252" s="16">
        <v>176653673</v>
      </c>
      <c r="F252" s="10">
        <v>3.244564317059015</v>
      </c>
    </row>
    <row r="253" spans="1:6" x14ac:dyDescent="0.2">
      <c r="A253" s="7">
        <v>44834</v>
      </c>
      <c r="B253" s="3" t="s">
        <v>27</v>
      </c>
      <c r="C253" s="3" t="s">
        <v>28</v>
      </c>
      <c r="D253" s="16">
        <v>194334714</v>
      </c>
      <c r="E253" s="16">
        <v>188354253</v>
      </c>
      <c r="F253" s="10">
        <v>3.0774023214401112</v>
      </c>
    </row>
    <row r="254" spans="1:6" x14ac:dyDescent="0.2">
      <c r="A254" s="7">
        <v>44926</v>
      </c>
      <c r="B254" s="3" t="s">
        <v>27</v>
      </c>
      <c r="C254" s="3" t="s">
        <v>28</v>
      </c>
      <c r="D254" s="16">
        <v>228216572</v>
      </c>
      <c r="E254" s="16">
        <v>221855374</v>
      </c>
      <c r="F254" s="10">
        <v>2.7873514812061941</v>
      </c>
    </row>
    <row r="255" spans="1:6" x14ac:dyDescent="0.2">
      <c r="A255" s="7">
        <v>45016</v>
      </c>
      <c r="B255" s="3" t="s">
        <v>27</v>
      </c>
      <c r="C255" s="3" t="s">
        <v>28</v>
      </c>
      <c r="D255" s="16">
        <v>269778152</v>
      </c>
      <c r="E255" s="16">
        <v>261709585</v>
      </c>
      <c r="F255" s="10">
        <v>2.9908155794617501</v>
      </c>
    </row>
    <row r="256" spans="1:6" x14ac:dyDescent="0.2">
      <c r="A256" s="7">
        <v>45107</v>
      </c>
      <c r="B256" s="3" t="s">
        <v>27</v>
      </c>
      <c r="C256" s="3" t="s">
        <v>28</v>
      </c>
      <c r="D256" s="16">
        <v>346234751</v>
      </c>
      <c r="E256" s="16">
        <v>335980024</v>
      </c>
      <c r="F256" s="10">
        <v>2.96178444549028</v>
      </c>
    </row>
    <row r="257" spans="1:6" x14ac:dyDescent="0.2">
      <c r="A257" s="7">
        <v>45199</v>
      </c>
      <c r="B257" s="3" t="s">
        <v>27</v>
      </c>
      <c r="C257" s="3" t="s">
        <v>28</v>
      </c>
      <c r="D257" s="16">
        <v>423292741</v>
      </c>
      <c r="E257" s="16">
        <v>409804270</v>
      </c>
      <c r="F257" s="10">
        <v>3.186558542944633</v>
      </c>
    </row>
    <row r="258" spans="1:6" x14ac:dyDescent="0.2">
      <c r="A258" s="7">
        <v>45291</v>
      </c>
      <c r="B258" s="3" t="s">
        <v>27</v>
      </c>
      <c r="C258" s="3" t="s">
        <v>28</v>
      </c>
      <c r="D258" s="16">
        <v>580971284</v>
      </c>
      <c r="E258" s="16">
        <v>562980268</v>
      </c>
      <c r="F258" s="10">
        <v>3.0967134685438249</v>
      </c>
    </row>
    <row r="259" spans="1:6" x14ac:dyDescent="0.2">
      <c r="A259" s="7">
        <v>45382</v>
      </c>
      <c r="B259" s="3" t="s">
        <v>27</v>
      </c>
      <c r="C259" s="3" t="s">
        <v>28</v>
      </c>
      <c r="D259" s="16">
        <v>708769797</v>
      </c>
      <c r="E259" s="16">
        <v>686314661</v>
      </c>
      <c r="F259" s="10">
        <v>3.1681846623608312</v>
      </c>
    </row>
    <row r="260" spans="1:6" x14ac:dyDescent="0.2">
      <c r="A260" s="7">
        <v>45473</v>
      </c>
      <c r="B260" s="3" t="s">
        <v>27</v>
      </c>
      <c r="C260" s="3" t="s">
        <v>28</v>
      </c>
      <c r="D260" s="16">
        <v>1027655641</v>
      </c>
      <c r="E260" s="16">
        <v>999286020</v>
      </c>
      <c r="F260" s="10">
        <v>2.760615508556334</v>
      </c>
    </row>
    <row r="261" spans="1:6" x14ac:dyDescent="0.2">
      <c r="A261" s="7">
        <v>45565</v>
      </c>
      <c r="B261" s="3" t="s">
        <v>27</v>
      </c>
      <c r="C261" s="3" t="s">
        <v>28</v>
      </c>
      <c r="D261" s="16">
        <v>1792314266</v>
      </c>
      <c r="E261" s="16">
        <v>1754944228</v>
      </c>
      <c r="F261" s="10">
        <v>2.0850159321334112</v>
      </c>
    </row>
    <row r="262" spans="1:6" x14ac:dyDescent="0.2">
      <c r="A262" s="7">
        <v>45657</v>
      </c>
      <c r="B262" s="3" t="s">
        <v>27</v>
      </c>
      <c r="C262" s="3" t="s">
        <v>28</v>
      </c>
      <c r="D262" s="16">
        <v>2452629808</v>
      </c>
      <c r="E262" s="16">
        <v>2390774742</v>
      </c>
      <c r="F262" s="10">
        <v>2.5219894905558449</v>
      </c>
    </row>
    <row r="263" spans="1:6" x14ac:dyDescent="0.2">
      <c r="A263" s="7">
        <v>45747</v>
      </c>
      <c r="B263" s="3" t="s">
        <v>27</v>
      </c>
      <c r="C263" s="3" t="s">
        <v>28</v>
      </c>
      <c r="D263" s="16">
        <v>2903763102</v>
      </c>
      <c r="E263" s="16">
        <v>2810235403</v>
      </c>
      <c r="F263" s="10">
        <v>3.2209135426916111</v>
      </c>
    </row>
    <row r="264" spans="1:6" x14ac:dyDescent="0.2">
      <c r="A264" s="7">
        <v>45838</v>
      </c>
      <c r="B264" s="3" t="s">
        <v>27</v>
      </c>
      <c r="C264" s="3" t="s">
        <v>28</v>
      </c>
      <c r="D264" s="16">
        <v>3742584721</v>
      </c>
      <c r="E264" s="16">
        <v>3573077507</v>
      </c>
      <c r="F264" s="10">
        <v>4.5291483462987188</v>
      </c>
    </row>
    <row r="265" spans="1:6" x14ac:dyDescent="0.2">
      <c r="A265" s="7">
        <v>45930</v>
      </c>
      <c r="B265" s="3" t="s">
        <v>27</v>
      </c>
      <c r="C265" s="3" t="s">
        <v>28</v>
      </c>
      <c r="D265" s="16">
        <v>3846779649</v>
      </c>
      <c r="E265" s="16">
        <v>3607596361</v>
      </c>
      <c r="F265" s="10">
        <v>6.2177538051127401</v>
      </c>
    </row>
    <row r="266" spans="1:6" x14ac:dyDescent="0.2">
      <c r="A266" s="7">
        <v>46022</v>
      </c>
      <c r="B266" s="3" t="s">
        <v>27</v>
      </c>
      <c r="C266" s="3" t="s">
        <v>28</v>
      </c>
      <c r="D266" s="16">
        <v>4201977389</v>
      </c>
      <c r="E266" s="16">
        <v>3897486912</v>
      </c>
      <c r="F266" s="10">
        <v>7.2463616248173963</v>
      </c>
    </row>
    <row r="267" spans="1:6" x14ac:dyDescent="0.2">
      <c r="A267" s="7">
        <v>43921</v>
      </c>
      <c r="B267" s="3" t="s">
        <v>29</v>
      </c>
      <c r="C267" s="3" t="s">
        <v>30</v>
      </c>
      <c r="D267" s="16">
        <v>77101742</v>
      </c>
      <c r="E267" s="16">
        <v>76998288</v>
      </c>
      <c r="F267" s="10">
        <v>0.13417855072587079</v>
      </c>
    </row>
    <row r="268" spans="1:6" x14ac:dyDescent="0.2">
      <c r="A268" s="7">
        <v>44012</v>
      </c>
      <c r="B268" s="3" t="s">
        <v>29</v>
      </c>
      <c r="C268" s="3" t="s">
        <v>30</v>
      </c>
      <c r="D268" s="16">
        <v>55236773</v>
      </c>
      <c r="E268" s="16">
        <v>55208625</v>
      </c>
      <c r="F268" s="10">
        <v>5.0958806011350451E-2</v>
      </c>
    </row>
    <row r="269" spans="1:6" x14ac:dyDescent="0.2">
      <c r="A269" s="7">
        <v>44104</v>
      </c>
      <c r="B269" s="3" t="s">
        <v>29</v>
      </c>
      <c r="C269" s="3" t="s">
        <v>30</v>
      </c>
      <c r="D269" s="16">
        <v>51055463</v>
      </c>
      <c r="E269" s="16">
        <v>51033272</v>
      </c>
      <c r="F269" s="10">
        <v>4.3464496639664202E-2</v>
      </c>
    </row>
    <row r="270" spans="1:6" x14ac:dyDescent="0.2">
      <c r="A270" s="7">
        <v>44196</v>
      </c>
      <c r="B270" s="3" t="s">
        <v>29</v>
      </c>
      <c r="C270" s="3" t="s">
        <v>30</v>
      </c>
      <c r="D270" s="16">
        <v>66457043</v>
      </c>
      <c r="E270" s="16">
        <v>66447044</v>
      </c>
      <c r="F270" s="10">
        <v>1.5045809365908739E-2</v>
      </c>
    </row>
    <row r="271" spans="1:6" x14ac:dyDescent="0.2">
      <c r="A271" s="7">
        <v>44286</v>
      </c>
      <c r="B271" s="3" t="s">
        <v>29</v>
      </c>
      <c r="C271" s="3" t="s">
        <v>30</v>
      </c>
      <c r="D271" s="16">
        <v>60714792</v>
      </c>
      <c r="E271" s="16">
        <v>60032219</v>
      </c>
      <c r="F271" s="10">
        <v>1.12422850760981</v>
      </c>
    </row>
    <row r="272" spans="1:6" x14ac:dyDescent="0.2">
      <c r="A272" s="7">
        <v>44377</v>
      </c>
      <c r="B272" s="3" t="s">
        <v>29</v>
      </c>
      <c r="C272" s="3" t="s">
        <v>30</v>
      </c>
      <c r="D272" s="16">
        <v>73107927</v>
      </c>
      <c r="E272" s="16">
        <v>73085552</v>
      </c>
      <c r="F272" s="10">
        <v>3.0605436261378339E-2</v>
      </c>
    </row>
    <row r="273" spans="1:6" x14ac:dyDescent="0.2">
      <c r="A273" s="7">
        <v>44469</v>
      </c>
      <c r="B273" s="3" t="s">
        <v>29</v>
      </c>
      <c r="C273" s="3" t="s">
        <v>30</v>
      </c>
      <c r="D273" s="16">
        <v>68864662</v>
      </c>
      <c r="E273" s="16">
        <v>68809357</v>
      </c>
      <c r="F273" s="10">
        <v>8.0309694978245888E-2</v>
      </c>
    </row>
    <row r="274" spans="1:6" x14ac:dyDescent="0.2">
      <c r="A274" s="7">
        <v>44561</v>
      </c>
      <c r="B274" s="3" t="s">
        <v>29</v>
      </c>
      <c r="C274" s="3" t="s">
        <v>30</v>
      </c>
      <c r="D274" s="16">
        <v>77114051</v>
      </c>
      <c r="E274" s="16">
        <v>77023938</v>
      </c>
      <c r="F274" s="10">
        <v>0.11685678398609869</v>
      </c>
    </row>
    <row r="275" spans="1:6" x14ac:dyDescent="0.2">
      <c r="A275" s="7">
        <v>44651</v>
      </c>
      <c r="B275" s="3" t="s">
        <v>29</v>
      </c>
      <c r="C275" s="3" t="s">
        <v>30</v>
      </c>
      <c r="D275" s="16">
        <v>82843968</v>
      </c>
      <c r="E275" s="16">
        <v>82792581</v>
      </c>
      <c r="F275" s="10">
        <v>6.2028656087550031E-2</v>
      </c>
    </row>
    <row r="276" spans="1:6" x14ac:dyDescent="0.2">
      <c r="A276" s="7">
        <v>44742</v>
      </c>
      <c r="B276" s="3" t="s">
        <v>29</v>
      </c>
      <c r="C276" s="3" t="s">
        <v>30</v>
      </c>
      <c r="D276" s="16">
        <v>98495141</v>
      </c>
      <c r="E276" s="16">
        <v>98449814</v>
      </c>
      <c r="F276" s="10">
        <v>4.6019529024279478E-2</v>
      </c>
    </row>
    <row r="277" spans="1:6" x14ac:dyDescent="0.2">
      <c r="A277" s="7">
        <v>44834</v>
      </c>
      <c r="B277" s="3" t="s">
        <v>29</v>
      </c>
      <c r="C277" s="3" t="s">
        <v>30</v>
      </c>
      <c r="D277" s="16">
        <v>104254845</v>
      </c>
      <c r="E277" s="16">
        <v>104214611</v>
      </c>
      <c r="F277" s="10">
        <v>3.8591971433078243E-2</v>
      </c>
    </row>
    <row r="278" spans="1:6" x14ac:dyDescent="0.2">
      <c r="A278" s="7">
        <v>44926</v>
      </c>
      <c r="B278" s="3" t="s">
        <v>29</v>
      </c>
      <c r="C278" s="3" t="s">
        <v>30</v>
      </c>
      <c r="D278" s="16">
        <v>124977857</v>
      </c>
      <c r="E278" s="16">
        <v>124758736</v>
      </c>
      <c r="F278" s="10">
        <v>0.1753278582781268</v>
      </c>
    </row>
    <row r="279" spans="1:6" x14ac:dyDescent="0.2">
      <c r="A279" s="7">
        <v>45016</v>
      </c>
      <c r="B279" s="3" t="s">
        <v>29</v>
      </c>
      <c r="C279" s="3" t="s">
        <v>30</v>
      </c>
      <c r="D279" s="16">
        <v>145458493</v>
      </c>
      <c r="E279" s="16">
        <v>145252832</v>
      </c>
      <c r="F279" s="10">
        <v>0.141388100315325</v>
      </c>
    </row>
    <row r="280" spans="1:6" x14ac:dyDescent="0.2">
      <c r="A280" s="7">
        <v>45107</v>
      </c>
      <c r="B280" s="3" t="s">
        <v>29</v>
      </c>
      <c r="C280" s="3" t="s">
        <v>30</v>
      </c>
      <c r="D280" s="16">
        <v>257851786</v>
      </c>
      <c r="E280" s="16">
        <v>257622539</v>
      </c>
      <c r="F280" s="10">
        <v>8.8906500729066112E-2</v>
      </c>
    </row>
    <row r="281" spans="1:6" x14ac:dyDescent="0.2">
      <c r="A281" s="7">
        <v>45199</v>
      </c>
      <c r="B281" s="3" t="s">
        <v>29</v>
      </c>
      <c r="C281" s="3" t="s">
        <v>30</v>
      </c>
      <c r="D281" s="16">
        <v>276667814</v>
      </c>
      <c r="E281" s="16">
        <v>276634440</v>
      </c>
      <c r="F281" s="10">
        <v>1.2062841541806519E-2</v>
      </c>
    </row>
    <row r="282" spans="1:6" x14ac:dyDescent="0.2">
      <c r="A282" s="7">
        <v>45291</v>
      </c>
      <c r="B282" s="3" t="s">
        <v>29</v>
      </c>
      <c r="C282" s="3" t="s">
        <v>30</v>
      </c>
      <c r="D282" s="16">
        <v>350923274</v>
      </c>
      <c r="E282" s="16">
        <v>350654163</v>
      </c>
      <c r="F282" s="10">
        <v>7.6686563684573397E-2</v>
      </c>
    </row>
    <row r="283" spans="1:6" x14ac:dyDescent="0.2">
      <c r="A283" s="7">
        <v>45382</v>
      </c>
      <c r="B283" s="3" t="s">
        <v>29</v>
      </c>
      <c r="C283" s="3" t="s">
        <v>30</v>
      </c>
      <c r="D283" s="16">
        <v>430478806</v>
      </c>
      <c r="E283" s="16">
        <v>430430959</v>
      </c>
      <c r="F283" s="10">
        <v>1.111483291003181E-2</v>
      </c>
    </row>
    <row r="284" spans="1:6" x14ac:dyDescent="0.2">
      <c r="A284" s="7">
        <v>45473</v>
      </c>
      <c r="B284" s="3" t="s">
        <v>29</v>
      </c>
      <c r="C284" s="3" t="s">
        <v>30</v>
      </c>
      <c r="D284" s="16">
        <v>606755533</v>
      </c>
      <c r="E284" s="16">
        <v>606231279</v>
      </c>
      <c r="F284" s="10">
        <v>8.6402837961429835E-2</v>
      </c>
    </row>
    <row r="285" spans="1:6" x14ac:dyDescent="0.2">
      <c r="A285" s="7">
        <v>45565</v>
      </c>
      <c r="B285" s="3" t="s">
        <v>29</v>
      </c>
      <c r="C285" s="3" t="s">
        <v>30</v>
      </c>
      <c r="D285" s="16">
        <v>677188116</v>
      </c>
      <c r="E285" s="16">
        <v>674942139</v>
      </c>
      <c r="F285" s="10">
        <v>0.33166219945891667</v>
      </c>
    </row>
    <row r="286" spans="1:6" x14ac:dyDescent="0.2">
      <c r="A286" s="7">
        <v>45657</v>
      </c>
      <c r="B286" s="3" t="s">
        <v>29</v>
      </c>
      <c r="C286" s="3" t="s">
        <v>30</v>
      </c>
      <c r="D286" s="16">
        <v>738937914</v>
      </c>
      <c r="E286" s="16">
        <v>738696478</v>
      </c>
      <c r="F286" s="10">
        <v>3.2673381000720987E-2</v>
      </c>
    </row>
    <row r="287" spans="1:6" x14ac:dyDescent="0.2">
      <c r="A287" s="7">
        <v>45747</v>
      </c>
      <c r="B287" s="3" t="s">
        <v>29</v>
      </c>
      <c r="C287" s="3" t="s">
        <v>30</v>
      </c>
      <c r="D287" s="16">
        <v>904407040</v>
      </c>
      <c r="E287" s="16">
        <v>900281979</v>
      </c>
      <c r="F287" s="10">
        <v>0.4561066884220627</v>
      </c>
    </row>
    <row r="288" spans="1:6" x14ac:dyDescent="0.2">
      <c r="A288" s="7">
        <v>45838</v>
      </c>
      <c r="B288" s="3" t="s">
        <v>29</v>
      </c>
      <c r="C288" s="3" t="s">
        <v>30</v>
      </c>
      <c r="D288" s="16">
        <v>1135139653</v>
      </c>
      <c r="E288" s="16">
        <v>1131470602</v>
      </c>
      <c r="F288" s="10">
        <v>0.32322463498682841</v>
      </c>
    </row>
    <row r="289" spans="1:6" x14ac:dyDescent="0.2">
      <c r="A289" s="7">
        <v>45930</v>
      </c>
      <c r="B289" s="3" t="s">
        <v>29</v>
      </c>
      <c r="C289" s="3" t="s">
        <v>30</v>
      </c>
      <c r="D289" s="16">
        <v>1132655895</v>
      </c>
      <c r="E289" s="16">
        <v>1132053401</v>
      </c>
      <c r="F289" s="10">
        <v>5.3193030880751301E-2</v>
      </c>
    </row>
    <row r="290" spans="1:6" x14ac:dyDescent="0.2">
      <c r="A290" s="7">
        <v>46022</v>
      </c>
      <c r="B290" s="3" t="s">
        <v>29</v>
      </c>
      <c r="C290" s="3" t="s">
        <v>30</v>
      </c>
      <c r="D290" s="16">
        <v>1392482296</v>
      </c>
      <c r="E290" s="16">
        <v>1314266602</v>
      </c>
      <c r="F290" s="10">
        <v>5.6169973740190384</v>
      </c>
    </row>
    <row r="291" spans="1:6" x14ac:dyDescent="0.2">
      <c r="A291" s="7">
        <v>43921</v>
      </c>
      <c r="B291" s="3" t="s">
        <v>31</v>
      </c>
      <c r="C291" s="3" t="s">
        <v>32</v>
      </c>
      <c r="D291" s="16">
        <v>27537588</v>
      </c>
      <c r="E291" s="16">
        <v>26516683</v>
      </c>
      <c r="F291" s="10">
        <v>3.7073145258764129</v>
      </c>
    </row>
    <row r="292" spans="1:6" x14ac:dyDescent="0.2">
      <c r="A292" s="7">
        <v>44012</v>
      </c>
      <c r="B292" s="3" t="s">
        <v>31</v>
      </c>
      <c r="C292" s="3" t="s">
        <v>32</v>
      </c>
      <c r="D292" s="16">
        <v>34273570</v>
      </c>
      <c r="E292" s="16">
        <v>33211509</v>
      </c>
      <c r="F292" s="10">
        <v>3.0987755287820908</v>
      </c>
    </row>
    <row r="293" spans="1:6" x14ac:dyDescent="0.2">
      <c r="A293" s="7">
        <v>44104</v>
      </c>
      <c r="B293" s="3" t="s">
        <v>31</v>
      </c>
      <c r="C293" s="3" t="s">
        <v>32</v>
      </c>
      <c r="D293" s="16">
        <v>39406618</v>
      </c>
      <c r="E293" s="16">
        <v>38293466</v>
      </c>
      <c r="F293" s="10">
        <v>2.824784405502649</v>
      </c>
    </row>
    <row r="294" spans="1:6" x14ac:dyDescent="0.2">
      <c r="A294" s="7">
        <v>44196</v>
      </c>
      <c r="B294" s="3" t="s">
        <v>31</v>
      </c>
      <c r="C294" s="3" t="s">
        <v>32</v>
      </c>
      <c r="D294" s="16">
        <v>43653100</v>
      </c>
      <c r="E294" s="16">
        <v>42524470</v>
      </c>
      <c r="F294" s="10">
        <v>2.5854521213842769</v>
      </c>
    </row>
    <row r="295" spans="1:6" x14ac:dyDescent="0.2">
      <c r="A295" s="7">
        <v>44286</v>
      </c>
      <c r="B295" s="3" t="s">
        <v>31</v>
      </c>
      <c r="C295" s="3" t="s">
        <v>32</v>
      </c>
      <c r="D295" s="16">
        <v>43024738</v>
      </c>
      <c r="E295" s="16">
        <v>41576756</v>
      </c>
      <c r="F295" s="10">
        <v>3.3654638408257131</v>
      </c>
    </row>
    <row r="296" spans="1:6" x14ac:dyDescent="0.2">
      <c r="A296" s="7">
        <v>44377</v>
      </c>
      <c r="B296" s="3" t="s">
        <v>31</v>
      </c>
      <c r="C296" s="3" t="s">
        <v>32</v>
      </c>
      <c r="D296" s="16">
        <v>44609873</v>
      </c>
      <c r="E296" s="16">
        <v>42189263</v>
      </c>
      <c r="F296" s="10">
        <v>5.4261755015532103</v>
      </c>
    </row>
    <row r="297" spans="1:6" x14ac:dyDescent="0.2">
      <c r="A297" s="7">
        <v>44469</v>
      </c>
      <c r="B297" s="3" t="s">
        <v>31</v>
      </c>
      <c r="C297" s="3" t="s">
        <v>32</v>
      </c>
      <c r="D297" s="16">
        <v>48505858</v>
      </c>
      <c r="E297" s="16">
        <v>46061334</v>
      </c>
      <c r="F297" s="10">
        <v>5.0396469638780532</v>
      </c>
    </row>
    <row r="298" spans="1:6" x14ac:dyDescent="0.2">
      <c r="A298" s="7">
        <v>44561</v>
      </c>
      <c r="B298" s="3" t="s">
        <v>31</v>
      </c>
      <c r="C298" s="3" t="s">
        <v>32</v>
      </c>
      <c r="D298" s="16">
        <v>58924587</v>
      </c>
      <c r="E298" s="16">
        <v>56324771</v>
      </c>
      <c r="F298" s="10">
        <v>4.4121072923260369</v>
      </c>
    </row>
    <row r="299" spans="1:6" x14ac:dyDescent="0.2">
      <c r="A299" s="7">
        <v>44651</v>
      </c>
      <c r="B299" s="3" t="s">
        <v>31</v>
      </c>
      <c r="C299" s="3" t="s">
        <v>32</v>
      </c>
      <c r="D299" s="16">
        <v>66605133</v>
      </c>
      <c r="E299" s="16">
        <v>63801328</v>
      </c>
      <c r="F299" s="10">
        <v>4.2095929753642256</v>
      </c>
    </row>
    <row r="300" spans="1:6" x14ac:dyDescent="0.2">
      <c r="A300" s="7">
        <v>44742</v>
      </c>
      <c r="B300" s="3" t="s">
        <v>31</v>
      </c>
      <c r="C300" s="3" t="s">
        <v>32</v>
      </c>
      <c r="D300" s="16">
        <v>76349597</v>
      </c>
      <c r="E300" s="16">
        <v>73275335</v>
      </c>
      <c r="F300" s="10">
        <v>4.0265595638965843</v>
      </c>
    </row>
    <row r="301" spans="1:6" x14ac:dyDescent="0.2">
      <c r="A301" s="7">
        <v>44834</v>
      </c>
      <c r="B301" s="3" t="s">
        <v>31</v>
      </c>
      <c r="C301" s="3" t="s">
        <v>32</v>
      </c>
      <c r="D301" s="16">
        <v>83552916</v>
      </c>
      <c r="E301" s="16">
        <v>79779355</v>
      </c>
      <c r="F301" s="10">
        <v>4.5163725943448823</v>
      </c>
    </row>
    <row r="302" spans="1:6" x14ac:dyDescent="0.2">
      <c r="A302" s="7">
        <v>44926</v>
      </c>
      <c r="B302" s="3" t="s">
        <v>31</v>
      </c>
      <c r="C302" s="3" t="s">
        <v>32</v>
      </c>
      <c r="D302" s="16">
        <v>99055204</v>
      </c>
      <c r="E302" s="16">
        <v>95030710</v>
      </c>
      <c r="F302" s="10">
        <v>4.0628799270354339</v>
      </c>
    </row>
    <row r="303" spans="1:6" x14ac:dyDescent="0.2">
      <c r="A303" s="7">
        <v>45016</v>
      </c>
      <c r="B303" s="3" t="s">
        <v>31</v>
      </c>
      <c r="C303" s="3" t="s">
        <v>32</v>
      </c>
      <c r="D303" s="16">
        <v>113885199</v>
      </c>
      <c r="E303" s="16">
        <v>109035831</v>
      </c>
      <c r="F303" s="10">
        <v>4.2581196174579272</v>
      </c>
    </row>
    <row r="304" spans="1:6" x14ac:dyDescent="0.2">
      <c r="A304" s="7">
        <v>45107</v>
      </c>
      <c r="B304" s="3" t="s">
        <v>31</v>
      </c>
      <c r="C304" s="3" t="s">
        <v>32</v>
      </c>
      <c r="D304" s="16">
        <v>138412699</v>
      </c>
      <c r="E304" s="16">
        <v>132856061</v>
      </c>
      <c r="F304" s="10">
        <v>4.0145434921401248</v>
      </c>
    </row>
    <row r="305" spans="1:6" x14ac:dyDescent="0.2">
      <c r="A305" s="7">
        <v>45199</v>
      </c>
      <c r="B305" s="3" t="s">
        <v>31</v>
      </c>
      <c r="C305" s="3" t="s">
        <v>32</v>
      </c>
      <c r="D305" s="16">
        <v>164756493</v>
      </c>
      <c r="E305" s="16">
        <v>158248646</v>
      </c>
      <c r="F305" s="10">
        <v>3.9499790760901909</v>
      </c>
    </row>
    <row r="306" spans="1:6" x14ac:dyDescent="0.2">
      <c r="A306" s="7">
        <v>45291</v>
      </c>
      <c r="B306" s="3" t="s">
        <v>31</v>
      </c>
      <c r="C306" s="3" t="s">
        <v>32</v>
      </c>
      <c r="D306" s="16">
        <v>239260360</v>
      </c>
      <c r="E306" s="16">
        <v>228762437</v>
      </c>
      <c r="F306" s="10">
        <v>4.3876566097284142</v>
      </c>
    </row>
    <row r="307" spans="1:6" x14ac:dyDescent="0.2">
      <c r="A307" s="7">
        <v>45382</v>
      </c>
      <c r="B307" s="3" t="s">
        <v>31</v>
      </c>
      <c r="C307" s="3" t="s">
        <v>32</v>
      </c>
      <c r="D307" s="16">
        <v>278368439</v>
      </c>
      <c r="E307" s="16">
        <v>267347070</v>
      </c>
      <c r="F307" s="10">
        <v>3.9592739175435039</v>
      </c>
    </row>
    <row r="308" spans="1:6" x14ac:dyDescent="0.2">
      <c r="A308" s="7">
        <v>45473</v>
      </c>
      <c r="B308" s="3" t="s">
        <v>31</v>
      </c>
      <c r="C308" s="3" t="s">
        <v>32</v>
      </c>
      <c r="D308" s="16">
        <v>405467832</v>
      </c>
      <c r="E308" s="16">
        <v>390559961</v>
      </c>
      <c r="F308" s="10">
        <v>3.676708686473555</v>
      </c>
    </row>
    <row r="309" spans="1:6" x14ac:dyDescent="0.2">
      <c r="A309" s="7">
        <v>45565</v>
      </c>
      <c r="B309" s="3" t="s">
        <v>31</v>
      </c>
      <c r="C309" s="3" t="s">
        <v>32</v>
      </c>
      <c r="D309" s="16">
        <v>646562889</v>
      </c>
      <c r="E309" s="16">
        <v>626480308</v>
      </c>
      <c r="F309" s="10">
        <v>3.106052225029575</v>
      </c>
    </row>
    <row r="310" spans="1:6" x14ac:dyDescent="0.2">
      <c r="A310" s="7">
        <v>45657</v>
      </c>
      <c r="B310" s="3" t="s">
        <v>31</v>
      </c>
      <c r="C310" s="3" t="s">
        <v>32</v>
      </c>
      <c r="D310" s="16">
        <v>935582112</v>
      </c>
      <c r="E310" s="16">
        <v>903451908</v>
      </c>
      <c r="F310" s="10">
        <v>3.4342473619247649</v>
      </c>
    </row>
    <row r="311" spans="1:6" x14ac:dyDescent="0.2">
      <c r="A311" s="7">
        <v>45747</v>
      </c>
      <c r="B311" s="3" t="s">
        <v>31</v>
      </c>
      <c r="C311" s="3" t="s">
        <v>32</v>
      </c>
      <c r="D311" s="16">
        <v>1055273101</v>
      </c>
      <c r="E311" s="16">
        <v>1006778291</v>
      </c>
      <c r="F311" s="10">
        <v>4.5954748542387041</v>
      </c>
    </row>
    <row r="312" spans="1:6" x14ac:dyDescent="0.2">
      <c r="A312" s="7">
        <v>45838</v>
      </c>
      <c r="B312" s="3" t="s">
        <v>31</v>
      </c>
      <c r="C312" s="3" t="s">
        <v>32</v>
      </c>
      <c r="D312" s="16">
        <v>1212023292</v>
      </c>
      <c r="E312" s="16">
        <v>1136502671</v>
      </c>
      <c r="F312" s="10">
        <v>6.2309545945590621</v>
      </c>
    </row>
    <row r="313" spans="1:6" x14ac:dyDescent="0.2">
      <c r="A313" s="7">
        <v>45930</v>
      </c>
      <c r="B313" s="3" t="s">
        <v>31</v>
      </c>
      <c r="C313" s="3" t="s">
        <v>32</v>
      </c>
      <c r="D313" s="16">
        <v>1350691204</v>
      </c>
      <c r="E313" s="16">
        <v>1243196916</v>
      </c>
      <c r="F313" s="10">
        <v>7.9584650941430137</v>
      </c>
    </row>
    <row r="314" spans="1:6" x14ac:dyDescent="0.2">
      <c r="A314" s="7">
        <v>46022</v>
      </c>
      <c r="B314" s="3" t="s">
        <v>31</v>
      </c>
      <c r="C314" s="3" t="s">
        <v>32</v>
      </c>
      <c r="D314" s="16">
        <v>1478807956</v>
      </c>
      <c r="E314" s="16">
        <v>1359830145</v>
      </c>
      <c r="F314" s="10">
        <v>8.0455214294235251</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8"/>
  <sheetViews>
    <sheetView tabSelected="1" workbookViewId="0">
      <selection activeCell="C20" sqref="C20"/>
    </sheetView>
  </sheetViews>
  <sheetFormatPr baseColWidth="10" defaultColWidth="8.83203125" defaultRowHeight="15" x14ac:dyDescent="0.2"/>
  <cols>
    <col min="1" max="1" width="19.1640625" style="8" customWidth="1"/>
    <col min="2" max="3" width="20" customWidth="1"/>
    <col min="4" max="4" width="22.1640625" bestFit="1" customWidth="1"/>
    <col min="5" max="6" width="20" customWidth="1"/>
    <col min="7" max="7" width="21.6640625" bestFit="1" customWidth="1"/>
  </cols>
  <sheetData>
    <row r="1" spans="1:7" ht="16" x14ac:dyDescent="0.2">
      <c r="A1" s="39" t="s">
        <v>110</v>
      </c>
      <c r="B1" s="39"/>
      <c r="C1" s="39"/>
      <c r="D1" s="39"/>
      <c r="E1" s="39"/>
      <c r="F1" s="39"/>
      <c r="G1" s="39"/>
    </row>
    <row r="2" spans="1:7" x14ac:dyDescent="0.2">
      <c r="A2" s="32" t="s">
        <v>1</v>
      </c>
      <c r="B2" s="33" t="s">
        <v>106</v>
      </c>
      <c r="C2" s="33" t="s">
        <v>107</v>
      </c>
      <c r="D2" s="34" t="s">
        <v>37</v>
      </c>
      <c r="E2" s="33" t="s">
        <v>108</v>
      </c>
      <c r="F2" s="33" t="s">
        <v>109</v>
      </c>
      <c r="G2" s="34" t="s">
        <v>38</v>
      </c>
    </row>
    <row r="3" spans="1:7" x14ac:dyDescent="0.2">
      <c r="A3" s="8">
        <v>43921</v>
      </c>
      <c r="B3" s="29">
        <f>SUMIFS('Irregularidad BCRA'!$D$3:$D$314,'Irregularidad BCRA'!$A$3:$A$314,A3,'Irregularidad BCRA'!$B$3:$B$314,"&lt;&gt;L")</f>
        <v>1463047338</v>
      </c>
      <c r="C3" s="29">
        <f>SUMIFS('Irregularidad BCRA'!$E$3:$E$314,'Irregularidad BCRA'!$A$3:$A$314,A3,'Irregularidad BCRA'!$B$3:$B$314,"&lt;&gt;L")</f>
        <v>1338513185</v>
      </c>
      <c r="D3" s="31">
        <f>(B3-C3)/B3*100</f>
        <v>8.5119701711251121</v>
      </c>
      <c r="E3" s="29">
        <f>SUMIF('Irregularidad BCRA'!$A$3:$A$314,A3,'Irregularidad BCRA'!$D$3:$D$314)</f>
        <v>1540149080</v>
      </c>
      <c r="F3" s="29">
        <f>SUMIF('Irregularidad BCRA'!$A$3:$A$314,A3,'Irregularidad BCRA'!$E$3:$E$314)</f>
        <v>1415511473</v>
      </c>
      <c r="G3" s="31">
        <f t="shared" ref="G3:G26" si="0">(E3-F3)/E3*100</f>
        <v>8.0925677013033042</v>
      </c>
    </row>
    <row r="4" spans="1:7" x14ac:dyDescent="0.2">
      <c r="A4" s="8">
        <v>44012</v>
      </c>
      <c r="B4" s="29">
        <f>SUMIFS('Irregularidad BCRA'!$D$3:$D$314,'Irregularidad BCRA'!$A$3:$A$314,A4,'Irregularidad BCRA'!$B$3:$B$314,"&lt;&gt;L")</f>
        <v>1643704212</v>
      </c>
      <c r="C4" s="29">
        <f>SUMIFS('Irregularidad BCRA'!$E$3:$E$314,'Irregularidad BCRA'!$A$3:$A$314,A4,'Irregularidad BCRA'!$B$3:$B$314,"&lt;&gt;L")</f>
        <v>1517432417</v>
      </c>
      <c r="D4" s="31">
        <f t="shared" ref="D3:D26" si="1">(B4-C4)/B4*100</f>
        <v>7.6821482890986221</v>
      </c>
      <c r="E4" s="29">
        <f>SUMIF('Irregularidad BCRA'!$A$3:$A$314,A4,'Irregularidad BCRA'!$D$3:$D$314)</f>
        <v>1698940985</v>
      </c>
      <c r="F4" s="29">
        <f>SUMIF('Irregularidad BCRA'!$A$3:$A$314,A4,'Irregularidad BCRA'!$E$3:$E$314)</f>
        <v>1572641042</v>
      </c>
      <c r="G4" s="31">
        <f t="shared" si="0"/>
        <v>7.4340394466379882</v>
      </c>
    </row>
    <row r="5" spans="1:7" x14ac:dyDescent="0.2">
      <c r="A5" s="8">
        <v>44104</v>
      </c>
      <c r="B5" s="29">
        <f>SUMIFS('Irregularidad BCRA'!$D$3:$D$314,'Irregularidad BCRA'!$A$3:$A$314,A5,'Irregularidad BCRA'!$B$3:$B$314,"&lt;&gt;L")</f>
        <v>1695994791</v>
      </c>
      <c r="C5" s="29">
        <f>SUMIFS('Irregularidad BCRA'!$E$3:$E$314,'Irregularidad BCRA'!$A$3:$A$314,A5,'Irregularidad BCRA'!$B$3:$B$314,"&lt;&gt;L")</f>
        <v>1572094460</v>
      </c>
      <c r="D5" s="31">
        <f t="shared" si="1"/>
        <v>7.3054664824144497</v>
      </c>
      <c r="E5" s="29">
        <f>SUMIF('Irregularidad BCRA'!$A$3:$A$314,A5,'Irregularidad BCRA'!$D$3:$D$314)</f>
        <v>1747050254</v>
      </c>
      <c r="F5" s="29">
        <f>SUMIF('Irregularidad BCRA'!$A$3:$A$314,A5,'Irregularidad BCRA'!$E$3:$E$314)</f>
        <v>1623127732</v>
      </c>
      <c r="G5" s="31">
        <f t="shared" si="0"/>
        <v>7.0932431231597537</v>
      </c>
    </row>
    <row r="6" spans="1:7" x14ac:dyDescent="0.2">
      <c r="A6" s="8">
        <v>44196</v>
      </c>
      <c r="B6" s="29">
        <f>SUMIFS('Irregularidad BCRA'!$D$3:$D$314,'Irregularidad BCRA'!$A$3:$A$314,A6,'Irregularidad BCRA'!$B$3:$B$314,"&lt;&gt;L")</f>
        <v>1873577885</v>
      </c>
      <c r="C6" s="29">
        <f>SUMIFS('Irregularidad BCRA'!$E$3:$E$314,'Irregularidad BCRA'!$A$3:$A$314,A6,'Irregularidad BCRA'!$B$3:$B$314,"&lt;&gt;L")</f>
        <v>1743213099</v>
      </c>
      <c r="D6" s="31">
        <f t="shared" si="1"/>
        <v>6.9580660106905574</v>
      </c>
      <c r="E6" s="29">
        <f>SUMIF('Irregularidad BCRA'!$A$3:$A$314,A6,'Irregularidad BCRA'!$D$3:$D$314)</f>
        <v>1940034928</v>
      </c>
      <c r="F6" s="29">
        <f>SUMIF('Irregularidad BCRA'!$A$3:$A$314,A6,'Irregularidad BCRA'!$E$3:$E$314)</f>
        <v>1809660143</v>
      </c>
      <c r="G6" s="31">
        <f t="shared" si="0"/>
        <v>6.720228750438249</v>
      </c>
    </row>
    <row r="7" spans="1:7" x14ac:dyDescent="0.2">
      <c r="A7" s="8">
        <v>44286</v>
      </c>
      <c r="B7" s="29">
        <f>SUMIFS('Irregularidad BCRA'!$D$3:$D$314,'Irregularidad BCRA'!$A$3:$A$314,A7,'Irregularidad BCRA'!$B$3:$B$314,"&lt;&gt;L")</f>
        <v>1910766785</v>
      </c>
      <c r="C7" s="29">
        <f>SUMIFS('Irregularidad BCRA'!$E$3:$E$314,'Irregularidad BCRA'!$A$3:$A$314,A7,'Irregularidad BCRA'!$B$3:$B$314,"&lt;&gt;L")</f>
        <v>1773036838</v>
      </c>
      <c r="D7" s="31">
        <f t="shared" si="1"/>
        <v>7.2080982399953113</v>
      </c>
      <c r="E7" s="29">
        <f>SUMIF('Irregularidad BCRA'!$A$3:$A$314,A7,'Irregularidad BCRA'!$D$3:$D$314)</f>
        <v>1971481577</v>
      </c>
      <c r="F7" s="29">
        <f>SUMIF('Irregularidad BCRA'!$A$3:$A$314,A7,'Irregularidad BCRA'!$E$3:$E$314)</f>
        <v>1833069057</v>
      </c>
      <c r="G7" s="31">
        <f t="shared" si="0"/>
        <v>7.0207361618170472</v>
      </c>
    </row>
    <row r="8" spans="1:7" x14ac:dyDescent="0.2">
      <c r="A8" s="8">
        <v>44377</v>
      </c>
      <c r="B8" s="29">
        <f>SUMIFS('Irregularidad BCRA'!$D$3:$D$314,'Irregularidad BCRA'!$A$3:$A$314,A8,'Irregularidad BCRA'!$B$3:$B$314,"&lt;&gt;L")</f>
        <v>2030815627</v>
      </c>
      <c r="C8" s="29">
        <f>SUMIFS('Irregularidad BCRA'!$E$3:$E$314,'Irregularidad BCRA'!$A$3:$A$314,A8,'Irregularidad BCRA'!$B$3:$B$314,"&lt;&gt;L")</f>
        <v>1869909919</v>
      </c>
      <c r="D8" s="31">
        <f t="shared" si="1"/>
        <v>7.9232061178146536</v>
      </c>
      <c r="E8" s="29">
        <f>SUMIF('Irregularidad BCRA'!$A$3:$A$314,A8,'Irregularidad BCRA'!$D$3:$D$314)</f>
        <v>2103923554</v>
      </c>
      <c r="F8" s="29">
        <f>SUMIF('Irregularidad BCRA'!$A$3:$A$314,A8,'Irregularidad BCRA'!$E$3:$E$314)</f>
        <v>1942995471</v>
      </c>
      <c r="G8" s="31">
        <f t="shared" si="0"/>
        <v>7.6489510606999929</v>
      </c>
    </row>
    <row r="9" spans="1:7" x14ac:dyDescent="0.2">
      <c r="A9" s="8">
        <v>44469</v>
      </c>
      <c r="B9" s="29">
        <f>SUMIFS('Irregularidad BCRA'!$D$3:$D$314,'Irregularidad BCRA'!$A$3:$A$314,A9,'Irregularidad BCRA'!$B$3:$B$314,"&lt;&gt;L")</f>
        <v>2228679341</v>
      </c>
      <c r="C9" s="29">
        <f>SUMIFS('Irregularidad BCRA'!$E$3:$E$314,'Irregularidad BCRA'!$A$3:$A$314,A9,'Irregularidad BCRA'!$B$3:$B$314,"&lt;&gt;L")</f>
        <v>2068695596</v>
      </c>
      <c r="D9" s="31">
        <f t="shared" si="1"/>
        <v>7.1784101937345506</v>
      </c>
      <c r="E9" s="29">
        <f>SUMIF('Irregularidad BCRA'!$A$3:$A$314,A9,'Irregularidad BCRA'!$D$3:$D$314)</f>
        <v>2297544003</v>
      </c>
      <c r="F9" s="29">
        <f>SUMIF('Irregularidad BCRA'!$A$3:$A$314,A9,'Irregularidad BCRA'!$E$3:$E$314)</f>
        <v>2137504953</v>
      </c>
      <c r="G9" s="31">
        <f t="shared" si="0"/>
        <v>6.9656576671014907</v>
      </c>
    </row>
    <row r="10" spans="1:7" x14ac:dyDescent="0.2">
      <c r="A10" s="8">
        <v>44561</v>
      </c>
      <c r="B10" s="29">
        <f>SUMIFS('Irregularidad BCRA'!$D$3:$D$314,'Irregularidad BCRA'!$A$3:$A$314,A10,'Irregularidad BCRA'!$B$3:$B$314,"&lt;&gt;L")</f>
        <v>2631563554</v>
      </c>
      <c r="C10" s="29">
        <f>SUMIFS('Irregularidad BCRA'!$E$3:$E$314,'Irregularidad BCRA'!$A$3:$A$314,A10,'Irregularidad BCRA'!$B$3:$B$314,"&lt;&gt;L")</f>
        <v>2451091727</v>
      </c>
      <c r="D10" s="31">
        <f t="shared" si="1"/>
        <v>6.8579695415556738</v>
      </c>
      <c r="E10" s="29">
        <f>SUMIF('Irregularidad BCRA'!$A$3:$A$314,A10,'Irregularidad BCRA'!$D$3:$D$314)</f>
        <v>2708677605</v>
      </c>
      <c r="F10" s="29">
        <f>SUMIF('Irregularidad BCRA'!$A$3:$A$314,A10,'Irregularidad BCRA'!$E$3:$E$314)</f>
        <v>2528115665</v>
      </c>
      <c r="G10" s="31">
        <f t="shared" si="0"/>
        <v>6.6660550397986542</v>
      </c>
    </row>
    <row r="11" spans="1:7" x14ac:dyDescent="0.2">
      <c r="A11" s="8">
        <v>44651</v>
      </c>
      <c r="B11" s="29">
        <f>SUMIFS('Irregularidad BCRA'!$D$3:$D$314,'Irregularidad BCRA'!$A$3:$A$314,A11,'Irregularidad BCRA'!$B$3:$B$314,"&lt;&gt;L")</f>
        <v>2857745919</v>
      </c>
      <c r="C11" s="29">
        <f>SUMIFS('Irregularidad BCRA'!$E$3:$E$314,'Irregularidad BCRA'!$A$3:$A$314,A11,'Irregularidad BCRA'!$B$3:$B$314,"&lt;&gt;L")</f>
        <v>2678642361</v>
      </c>
      <c r="D11" s="31">
        <f t="shared" si="1"/>
        <v>6.2673016802932926</v>
      </c>
      <c r="E11" s="29">
        <f>SUMIF('Irregularidad BCRA'!$A$3:$A$314,A11,'Irregularidad BCRA'!$D$3:$D$314)</f>
        <v>2940589887</v>
      </c>
      <c r="F11" s="29">
        <f>SUMIF('Irregularidad BCRA'!$A$3:$A$314,A11,'Irregularidad BCRA'!$E$3:$E$314)</f>
        <v>2761434942</v>
      </c>
      <c r="G11" s="31">
        <f t="shared" si="0"/>
        <v>6.0924832052243261</v>
      </c>
    </row>
    <row r="12" spans="1:7" x14ac:dyDescent="0.2">
      <c r="A12" s="8">
        <v>44742</v>
      </c>
      <c r="B12" s="29">
        <f>SUMIFS('Irregularidad BCRA'!$D$3:$D$314,'Irregularidad BCRA'!$A$3:$A$314,A12,'Irregularidad BCRA'!$B$3:$B$314,"&lt;&gt;L")</f>
        <v>3452439657</v>
      </c>
      <c r="C12" s="29">
        <f>SUMIFS('Irregularidad BCRA'!$E$3:$E$314,'Irregularidad BCRA'!$A$3:$A$314,A12,'Irregularidad BCRA'!$B$3:$B$314,"&lt;&gt;L")</f>
        <v>3277113004</v>
      </c>
      <c r="D12" s="31">
        <f t="shared" si="1"/>
        <v>5.0783408377469001</v>
      </c>
      <c r="E12" s="29">
        <f>SUMIF('Irregularidad BCRA'!$A$3:$A$314,A12,'Irregularidad BCRA'!$D$3:$D$314)</f>
        <v>3550934798</v>
      </c>
      <c r="F12" s="29">
        <f>SUMIF('Irregularidad BCRA'!$A$3:$A$314,A12,'Irregularidad BCRA'!$E$3:$E$314)</f>
        <v>3375562818</v>
      </c>
      <c r="G12" s="31">
        <f t="shared" si="0"/>
        <v>4.9387552849118803</v>
      </c>
    </row>
    <row r="13" spans="1:7" x14ac:dyDescent="0.2">
      <c r="A13" s="8">
        <v>44834</v>
      </c>
      <c r="B13" s="29">
        <f>SUMIFS('Irregularidad BCRA'!$D$3:$D$314,'Irregularidad BCRA'!$A$3:$A$314,A13,'Irregularidad BCRA'!$B$3:$B$314,"&lt;&gt;L")</f>
        <v>3790530157</v>
      </c>
      <c r="C13" s="29">
        <f>SUMIFS('Irregularidad BCRA'!$E$3:$E$314,'Irregularidad BCRA'!$A$3:$A$314,A13,'Irregularidad BCRA'!$B$3:$B$314,"&lt;&gt;L")</f>
        <v>3592124212</v>
      </c>
      <c r="D13" s="31">
        <f t="shared" si="1"/>
        <v>5.2342531725701296</v>
      </c>
      <c r="E13" s="29">
        <f>SUMIF('Irregularidad BCRA'!$A$3:$A$314,A13,'Irregularidad BCRA'!$D$3:$D$314)</f>
        <v>3894785002</v>
      </c>
      <c r="F13" s="29">
        <f>SUMIF('Irregularidad BCRA'!$A$3:$A$314,A13,'Irregularidad BCRA'!$E$3:$E$314)</f>
        <v>3696338823</v>
      </c>
      <c r="G13" s="31">
        <f t="shared" si="0"/>
        <v>5.0951767272929427</v>
      </c>
    </row>
    <row r="14" spans="1:7" x14ac:dyDescent="0.2">
      <c r="A14" s="8">
        <v>44926</v>
      </c>
      <c r="B14" s="29">
        <f>SUMIFS('Irregularidad BCRA'!$D$3:$D$314,'Irregularidad BCRA'!$A$3:$A$314,A14,'Irregularidad BCRA'!$B$3:$B$314,"&lt;&gt;L")</f>
        <v>4355694739</v>
      </c>
      <c r="C14" s="29">
        <f>SUMIFS('Irregularidad BCRA'!$E$3:$E$314,'Irregularidad BCRA'!$A$3:$A$314,A14,'Irregularidad BCRA'!$B$3:$B$314,"&lt;&gt;L")</f>
        <v>4129316398</v>
      </c>
      <c r="D14" s="31">
        <f t="shared" si="1"/>
        <v>5.1972958291373041</v>
      </c>
      <c r="E14" s="29">
        <f>SUMIF('Irregularidad BCRA'!$A$3:$A$314,A14,'Irregularidad BCRA'!$D$3:$D$314)</f>
        <v>4480672596</v>
      </c>
      <c r="F14" s="29">
        <f>SUMIF('Irregularidad BCRA'!$A$3:$A$314,A14,'Irregularidad BCRA'!$E$3:$E$314)</f>
        <v>4254075134</v>
      </c>
      <c r="G14" s="31">
        <f t="shared" si="0"/>
        <v>5.0572198067381402</v>
      </c>
    </row>
    <row r="15" spans="1:7" x14ac:dyDescent="0.2">
      <c r="A15" s="8">
        <v>45016</v>
      </c>
      <c r="B15" s="29">
        <f>SUMIFS('Irregularidad BCRA'!$D$3:$D$314,'Irregularidad BCRA'!$A$3:$A$314,A15,'Irregularidad BCRA'!$B$3:$B$314,"&lt;&gt;L")</f>
        <v>5105914879</v>
      </c>
      <c r="C15" s="29">
        <f>SUMIFS('Irregularidad BCRA'!$E$3:$E$314,'Irregularidad BCRA'!$A$3:$A$314,A15,'Irregularidad BCRA'!$B$3:$B$314,"&lt;&gt;L")</f>
        <v>4829746920</v>
      </c>
      <c r="D15" s="31">
        <f t="shared" si="1"/>
        <v>5.4087850178592838</v>
      </c>
      <c r="E15" s="29">
        <f>SUMIF('Irregularidad BCRA'!$A$3:$A$314,A15,'Irregularidad BCRA'!$D$3:$D$314)</f>
        <v>5251373372</v>
      </c>
      <c r="F15" s="29">
        <f>SUMIF('Irregularidad BCRA'!$A$3:$A$314,A15,'Irregularidad BCRA'!$E$3:$E$314)</f>
        <v>4974999752</v>
      </c>
      <c r="G15" s="31">
        <f t="shared" si="0"/>
        <v>5.2628826865293403</v>
      </c>
    </row>
    <row r="16" spans="1:7" x14ac:dyDescent="0.2">
      <c r="A16" s="8">
        <v>45107</v>
      </c>
      <c r="B16" s="29">
        <f>SUMIFS('Irregularidad BCRA'!$D$3:$D$314,'Irregularidad BCRA'!$A$3:$A$314,A16,'Irregularidad BCRA'!$B$3:$B$314,"&lt;&gt;L")</f>
        <v>6639482153</v>
      </c>
      <c r="C16" s="29">
        <f>SUMIFS('Irregularidad BCRA'!$E$3:$E$314,'Irregularidad BCRA'!$A$3:$A$314,A16,'Irregularidad BCRA'!$B$3:$B$314,"&lt;&gt;L")</f>
        <v>6297996457</v>
      </c>
      <c r="D16" s="31">
        <f t="shared" si="1"/>
        <v>5.1432579850478586</v>
      </c>
      <c r="E16" s="29">
        <f>SUMIF('Irregularidad BCRA'!$A$3:$A$314,A16,'Irregularidad BCRA'!$D$3:$D$314)</f>
        <v>6897333939</v>
      </c>
      <c r="F16" s="29">
        <f>SUMIF('Irregularidad BCRA'!$A$3:$A$314,A16,'Irregularidad BCRA'!$E$3:$E$314)</f>
        <v>6555618996</v>
      </c>
      <c r="G16" s="31">
        <f t="shared" si="0"/>
        <v>4.9543047505329723</v>
      </c>
    </row>
    <row r="17" spans="1:7" x14ac:dyDescent="0.2">
      <c r="A17" s="8">
        <v>45199</v>
      </c>
      <c r="B17" s="29">
        <f>SUMIFS('Irregularidad BCRA'!$D$3:$D$314,'Irregularidad BCRA'!$A$3:$A$314,A17,'Irregularidad BCRA'!$B$3:$B$314,"&lt;&gt;L")</f>
        <v>8489724101</v>
      </c>
      <c r="C17" s="29">
        <f>SUMIFS('Irregularidad BCRA'!$E$3:$E$314,'Irregularidad BCRA'!$A$3:$A$314,A17,'Irregularidad BCRA'!$B$3:$B$314,"&lt;&gt;L")</f>
        <v>8025666435</v>
      </c>
      <c r="D17" s="31">
        <f t="shared" si="1"/>
        <v>5.466110093558151</v>
      </c>
      <c r="E17" s="29">
        <f>SUMIF('Irregularidad BCRA'!$A$3:$A$314,A17,'Irregularidad BCRA'!$D$3:$D$314)</f>
        <v>8766391915</v>
      </c>
      <c r="F17" s="29">
        <f>SUMIF('Irregularidad BCRA'!$A$3:$A$314,A17,'Irregularidad BCRA'!$E$3:$E$314)</f>
        <v>8302300875</v>
      </c>
      <c r="G17" s="31">
        <f t="shared" si="0"/>
        <v>5.2939800604385825</v>
      </c>
    </row>
    <row r="18" spans="1:7" x14ac:dyDescent="0.2">
      <c r="A18" s="8">
        <v>45291</v>
      </c>
      <c r="B18" s="29">
        <f>SUMIFS('Irregularidad BCRA'!$D$3:$D$314,'Irregularidad BCRA'!$A$3:$A$314,A18,'Irregularidad BCRA'!$B$3:$B$314,"&lt;&gt;L")</f>
        <v>11555020332</v>
      </c>
      <c r="C18" s="29">
        <f>SUMIFS('Irregularidad BCRA'!$E$3:$E$314,'Irregularidad BCRA'!$A$3:$A$314,A18,'Irregularidad BCRA'!$B$3:$B$314,"&lt;&gt;L")</f>
        <v>10759740150</v>
      </c>
      <c r="D18" s="31">
        <f t="shared" si="1"/>
        <v>6.8825511262631327</v>
      </c>
      <c r="E18" s="29">
        <f>SUMIF('Irregularidad BCRA'!$A$3:$A$314,A18,'Irregularidad BCRA'!$D$3:$D$314)</f>
        <v>11905943606</v>
      </c>
      <c r="F18" s="29">
        <f>SUMIF('Irregularidad BCRA'!$A$3:$A$314,A18,'Irregularidad BCRA'!$E$3:$E$314)</f>
        <v>11110394313</v>
      </c>
      <c r="G18" s="31">
        <f t="shared" si="0"/>
        <v>6.6819507913600642</v>
      </c>
    </row>
    <row r="19" spans="1:7" x14ac:dyDescent="0.2">
      <c r="A19" s="8">
        <v>45382</v>
      </c>
      <c r="B19" s="29">
        <f>SUMIFS('Irregularidad BCRA'!$D$3:$D$314,'Irregularidad BCRA'!$A$3:$A$314,A19,'Irregularidad BCRA'!$B$3:$B$314,"&lt;&gt;L")</f>
        <v>15286281450</v>
      </c>
      <c r="C19" s="29">
        <f>SUMIFS('Irregularidad BCRA'!$E$3:$E$314,'Irregularidad BCRA'!$A$3:$A$314,A19,'Irregularidad BCRA'!$B$3:$B$314,"&lt;&gt;L")</f>
        <v>14787970193</v>
      </c>
      <c r="D19" s="31">
        <f t="shared" si="1"/>
        <v>3.2598592314941319</v>
      </c>
      <c r="E19" s="29">
        <f>SUMIF('Irregularidad BCRA'!$A$3:$A$314,A19,'Irregularidad BCRA'!$D$3:$D$314)</f>
        <v>15716760256</v>
      </c>
      <c r="F19" s="29">
        <f>SUMIF('Irregularidad BCRA'!$A$3:$A$314,A19,'Irregularidad BCRA'!$E$3:$E$314)</f>
        <v>15218401152</v>
      </c>
      <c r="G19" s="31">
        <f t="shared" si="0"/>
        <v>3.1708767957426045</v>
      </c>
    </row>
    <row r="20" spans="1:7" x14ac:dyDescent="0.2">
      <c r="A20" s="8">
        <v>45473</v>
      </c>
      <c r="B20" s="29">
        <f>SUMIFS('Irregularidad BCRA'!$D$3:$D$314,'Irregularidad BCRA'!$A$3:$A$314,A20,'Irregularidad BCRA'!$B$3:$B$314,"&lt;&gt;L")</f>
        <v>22009705358</v>
      </c>
      <c r="C20" s="29">
        <f>SUMIFS('Irregularidad BCRA'!$E$3:$E$314,'Irregularidad BCRA'!$A$3:$A$314,A20,'Irregularidad BCRA'!$B$3:$B$314,"&lt;&gt;L")</f>
        <v>21455860567</v>
      </c>
      <c r="D20" s="31">
        <f t="shared" si="1"/>
        <v>2.5163662211347626</v>
      </c>
      <c r="E20" s="29">
        <f>SUMIF('Irregularidad BCRA'!$A$3:$A$314,A20,'Irregularidad BCRA'!$D$3:$D$314)</f>
        <v>22616460891</v>
      </c>
      <c r="F20" s="29">
        <f>SUMIF('Irregularidad BCRA'!$A$3:$A$314,A20,'Irregularidad BCRA'!$E$3:$E$314)</f>
        <v>22062091846</v>
      </c>
      <c r="G20" s="31">
        <f t="shared" si="0"/>
        <v>2.4511750431324373</v>
      </c>
    </row>
    <row r="21" spans="1:7" x14ac:dyDescent="0.2">
      <c r="A21" s="8">
        <v>45565</v>
      </c>
      <c r="B21" s="29">
        <f>SUMIFS('Irregularidad BCRA'!$D$3:$D$314,'Irregularidad BCRA'!$A$3:$A$314,A21,'Irregularidad BCRA'!$B$3:$B$314,"&lt;&gt;L")</f>
        <v>31244460563</v>
      </c>
      <c r="C21" s="29">
        <f>SUMIFS('Irregularidad BCRA'!$E$3:$E$314,'Irregularidad BCRA'!$A$3:$A$314,A21,'Irregularidad BCRA'!$B$3:$B$314,"&lt;&gt;L")</f>
        <v>30644546252</v>
      </c>
      <c r="D21" s="31">
        <f t="shared" si="1"/>
        <v>1.9200661499351488</v>
      </c>
      <c r="E21" s="29">
        <f>SUMIF('Irregularidad BCRA'!$A$3:$A$314,A21,'Irregularidad BCRA'!$D$3:$D$314)</f>
        <v>31921648679</v>
      </c>
      <c r="F21" s="29">
        <f>SUMIF('Irregularidad BCRA'!$A$3:$A$314,A21,'Irregularidad BCRA'!$E$3:$E$314)</f>
        <v>31319488391</v>
      </c>
      <c r="G21" s="31">
        <f t="shared" si="0"/>
        <v>1.8863696360274074</v>
      </c>
    </row>
    <row r="22" spans="1:7" x14ac:dyDescent="0.2">
      <c r="A22" s="8">
        <v>45657</v>
      </c>
      <c r="B22" s="29">
        <f>SUMIFS('Irregularidad BCRA'!$D$3:$D$314,'Irregularidad BCRA'!$A$3:$A$314,A22,'Irregularidad BCRA'!$B$3:$B$314,"&lt;&gt;L")</f>
        <v>40968457897</v>
      </c>
      <c r="C22" s="29">
        <f>SUMIFS('Irregularidad BCRA'!$E$3:$E$314,'Irregularidad BCRA'!$A$3:$A$314,A22,'Irregularidad BCRA'!$B$3:$B$314,"&lt;&gt;L")</f>
        <v>40168920828</v>
      </c>
      <c r="D22" s="31">
        <f t="shared" si="1"/>
        <v>1.9515918099971923</v>
      </c>
      <c r="E22" s="29">
        <f>SUMIF('Irregularidad BCRA'!$A$3:$A$314,A22,'Irregularidad BCRA'!$D$3:$D$314)</f>
        <v>41707395811</v>
      </c>
      <c r="F22" s="29">
        <f>SUMIF('Irregularidad BCRA'!$A$3:$A$314,A22,'Irregularidad BCRA'!$E$3:$E$314)</f>
        <v>40907617306</v>
      </c>
      <c r="G22" s="31">
        <f t="shared" si="0"/>
        <v>1.9175939649271139</v>
      </c>
    </row>
    <row r="23" spans="1:7" x14ac:dyDescent="0.2">
      <c r="A23" s="8">
        <v>45747</v>
      </c>
      <c r="B23" s="29">
        <f>SUMIFS('Irregularidad BCRA'!$D$3:$D$314,'Irregularidad BCRA'!$A$3:$A$314,A23,'Irregularidad BCRA'!$B$3:$B$314,"&lt;&gt;L")</f>
        <v>49849468866</v>
      </c>
      <c r="C23" s="29">
        <f>SUMIFS('Irregularidad BCRA'!$E$3:$E$314,'Irregularidad BCRA'!$A$3:$A$314,A23,'Irregularidad BCRA'!$B$3:$B$314,"&lt;&gt;L")</f>
        <v>48555620291</v>
      </c>
      <c r="D23" s="31">
        <f t="shared" si="1"/>
        <v>2.5955112550506509</v>
      </c>
      <c r="E23" s="29">
        <f>SUMIF('Irregularidad BCRA'!$A$3:$A$314,A23,'Irregularidad BCRA'!$D$3:$D$314)</f>
        <v>50753875906</v>
      </c>
      <c r="F23" s="29">
        <f>SUMIF('Irregularidad BCRA'!$A$3:$A$314,A23,'Irregularidad BCRA'!$E$3:$E$314)</f>
        <v>49455902270</v>
      </c>
      <c r="G23" s="31">
        <f t="shared" si="0"/>
        <v>2.5573882049992496</v>
      </c>
    </row>
    <row r="24" spans="1:7" x14ac:dyDescent="0.2">
      <c r="A24" s="8">
        <v>45838</v>
      </c>
      <c r="B24" s="29">
        <f>SUMIFS('Irregularidad BCRA'!$D$3:$D$314,'Irregularidad BCRA'!$A$3:$A$314,A24,'Irregularidad BCRA'!$B$3:$B$314,"&lt;&gt;L")</f>
        <v>60079988628</v>
      </c>
      <c r="C24" s="29">
        <f>SUMIFS('Irregularidad BCRA'!$E$3:$E$314,'Irregularidad BCRA'!$A$3:$A$314,A24,'Irregularidad BCRA'!$B$3:$B$314,"&lt;&gt;L")</f>
        <v>58407031679</v>
      </c>
      <c r="D24" s="31">
        <f t="shared" si="1"/>
        <v>2.7845493769290202</v>
      </c>
      <c r="E24" s="29">
        <f>SUMIF('Irregularidad BCRA'!$A$3:$A$314,A24,'Irregularidad BCRA'!$D$3:$D$314)</f>
        <v>61215128281</v>
      </c>
      <c r="F24" s="29">
        <f>SUMIF('Irregularidad BCRA'!$A$3:$A$314,A24,'Irregularidad BCRA'!$E$3:$E$314)</f>
        <v>59538502281</v>
      </c>
      <c r="G24" s="31">
        <f t="shared" si="0"/>
        <v>2.738907925347585</v>
      </c>
    </row>
    <row r="25" spans="1:7" x14ac:dyDescent="0.2">
      <c r="A25" s="8">
        <v>45930</v>
      </c>
      <c r="B25" s="29">
        <f>SUMIFS('Irregularidad BCRA'!$D$3:$D$314,'Irregularidad BCRA'!$A$3:$A$314,A25,'Irregularidad BCRA'!$B$3:$B$314,"&lt;&gt;L")</f>
        <v>67949590492</v>
      </c>
      <c r="C25" s="29">
        <f>SUMIFS('Irregularidad BCRA'!$E$3:$E$314,'Irregularidad BCRA'!$A$3:$A$314,A25,'Irregularidad BCRA'!$B$3:$B$314,"&lt;&gt;L")</f>
        <v>65164537912</v>
      </c>
      <c r="D25" s="31">
        <f t="shared" si="1"/>
        <v>4.0987039948796991</v>
      </c>
      <c r="E25" s="29">
        <f>SUMIF('Irregularidad BCRA'!$A$3:$A$314,A25,'Irregularidad BCRA'!$D$3:$D$314)</f>
        <v>69082246387</v>
      </c>
      <c r="F25" s="29">
        <f>SUMIF('Irregularidad BCRA'!$A$3:$A$314,A25,'Irregularidad BCRA'!$E$3:$E$314)</f>
        <v>66296591313</v>
      </c>
      <c r="G25" s="31">
        <f t="shared" si="0"/>
        <v>4.0323747702046484</v>
      </c>
    </row>
    <row r="26" spans="1:7" x14ac:dyDescent="0.2">
      <c r="A26" s="8">
        <v>46022</v>
      </c>
      <c r="B26" s="29">
        <f>SUMIFS('Irregularidad BCRA'!$D$3:$D$314,'Irregularidad BCRA'!$A$3:$A$314,A26,'Irregularidad BCRA'!$B$3:$B$314,"&lt;&gt;L")</f>
        <v>74624370438</v>
      </c>
      <c r="C26" s="29">
        <f>SUMIFS('Irregularidad BCRA'!$E$3:$E$314,'Irregularidad BCRA'!$A$3:$A$314,A26,'Irregularidad BCRA'!$B$3:$B$314,"&lt;&gt;L")</f>
        <v>71199272617</v>
      </c>
      <c r="D26" s="31">
        <f t="shared" si="1"/>
        <v>4.589784544776383</v>
      </c>
      <c r="E26" s="29">
        <f>SUMIF('Irregularidad BCRA'!$A$3:$A$314,A26,'Irregularidad BCRA'!$D$3:$D$314)</f>
        <v>76016852734</v>
      </c>
      <c r="F26" s="29">
        <f>SUMIF('Irregularidad BCRA'!$A$3:$A$314,A26,'Irregularidad BCRA'!$E$3:$E$314)</f>
        <v>72513539219</v>
      </c>
      <c r="G26" s="31">
        <f t="shared" si="0"/>
        <v>4.6086011048877262</v>
      </c>
    </row>
    <row r="27" spans="1:7" x14ac:dyDescent="0.2">
      <c r="B27" s="31"/>
      <c r="C27" s="31"/>
      <c r="D27" s="31"/>
      <c r="E27" s="31"/>
      <c r="F27" s="31"/>
      <c r="G27" s="31"/>
    </row>
    <row r="28" spans="1:7" x14ac:dyDescent="0.2">
      <c r="A28" s="30"/>
    </row>
  </sheetData>
  <mergeCells count="1">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4"/>
  <sheetViews>
    <sheetView workbookViewId="0">
      <selection activeCell="H10" sqref="H10"/>
    </sheetView>
  </sheetViews>
  <sheetFormatPr baseColWidth="10" defaultColWidth="8.83203125" defaultRowHeight="15" x14ac:dyDescent="0.2"/>
  <cols>
    <col min="1" max="1" width="21" style="8" customWidth="1"/>
    <col min="2" max="3" width="12" customWidth="1"/>
    <col min="4" max="18" width="20" customWidth="1"/>
  </cols>
  <sheetData>
    <row r="1" spans="1:18" ht="16" customHeight="1" x14ac:dyDescent="0.2">
      <c r="A1" s="6" t="s">
        <v>1</v>
      </c>
      <c r="B1" s="1" t="s">
        <v>33</v>
      </c>
      <c r="C1" s="1" t="s">
        <v>34</v>
      </c>
      <c r="D1" s="1" t="s">
        <v>7</v>
      </c>
      <c r="E1" s="1" t="s">
        <v>9</v>
      </c>
      <c r="F1" s="1" t="s">
        <v>11</v>
      </c>
      <c r="G1" s="1" t="s">
        <v>13</v>
      </c>
      <c r="H1" s="1" t="s">
        <v>15</v>
      </c>
      <c r="I1" s="1" t="s">
        <v>17</v>
      </c>
      <c r="J1" s="1" t="s">
        <v>19</v>
      </c>
      <c r="K1" s="1" t="s">
        <v>21</v>
      </c>
      <c r="L1" s="1" t="s">
        <v>23</v>
      </c>
      <c r="M1" s="1" t="s">
        <v>25</v>
      </c>
      <c r="N1" s="1" t="s">
        <v>27</v>
      </c>
      <c r="O1" s="1" t="s">
        <v>29</v>
      </c>
      <c r="P1" s="1" t="s">
        <v>35</v>
      </c>
      <c r="Q1" s="1" t="s">
        <v>36</v>
      </c>
      <c r="R1" s="1" t="s">
        <v>31</v>
      </c>
    </row>
    <row r="2" spans="1:18" x14ac:dyDescent="0.2">
      <c r="A2" s="7">
        <v>43831</v>
      </c>
      <c r="B2" s="3">
        <v>2020</v>
      </c>
      <c r="C2" s="3">
        <v>1</v>
      </c>
      <c r="D2" s="3">
        <v>84.779899634500737</v>
      </c>
      <c r="E2" s="3">
        <v>101.70895859153551</v>
      </c>
      <c r="F2" s="3">
        <v>88.023249167922003</v>
      </c>
      <c r="G2" s="3">
        <v>101.7147663422265</v>
      </c>
      <c r="H2" s="3">
        <v>151.921596144624</v>
      </c>
      <c r="I2" s="3">
        <v>129.90480642887769</v>
      </c>
      <c r="J2" s="3">
        <v>129.37966640973161</v>
      </c>
      <c r="K2" s="3">
        <v>176.60006629063179</v>
      </c>
      <c r="L2" s="3">
        <v>182.9354230156884</v>
      </c>
      <c r="M2" s="3">
        <v>161.53150882848371</v>
      </c>
      <c r="N2" s="3">
        <v>137.1021796997787</v>
      </c>
      <c r="O2" s="3">
        <v>155.78383481788859</v>
      </c>
      <c r="P2" s="3">
        <v>157.66667575491709</v>
      </c>
      <c r="Q2" s="3">
        <v>181.05883564984791</v>
      </c>
      <c r="R2" s="3">
        <v>169.36275570238249</v>
      </c>
    </row>
    <row r="3" spans="1:18" x14ac:dyDescent="0.2">
      <c r="A3" s="7">
        <v>43862</v>
      </c>
      <c r="B3" s="3">
        <v>2020</v>
      </c>
      <c r="C3" s="3">
        <v>2</v>
      </c>
      <c r="D3" s="3">
        <v>68.525431313194915</v>
      </c>
      <c r="E3" s="3">
        <v>183.5505186657181</v>
      </c>
      <c r="F3" s="3">
        <v>85.9284724559555</v>
      </c>
      <c r="G3" s="3">
        <v>102.3074099320813</v>
      </c>
      <c r="H3" s="3">
        <v>140.224299286997</v>
      </c>
      <c r="I3" s="3">
        <v>125.267518966769</v>
      </c>
      <c r="J3" s="3">
        <v>129.5722947668784</v>
      </c>
      <c r="K3" s="3">
        <v>170.1384614740719</v>
      </c>
      <c r="L3" s="3">
        <v>177.4565022228862</v>
      </c>
      <c r="M3" s="3">
        <v>154.45575297379651</v>
      </c>
      <c r="N3" s="3">
        <v>136.2860444363217</v>
      </c>
      <c r="O3" s="3">
        <v>156.3120267180042</v>
      </c>
      <c r="P3" s="3">
        <v>158.40506748327479</v>
      </c>
      <c r="Q3" s="3">
        <v>172.60279319246149</v>
      </c>
      <c r="R3" s="3">
        <v>165.50393033786821</v>
      </c>
    </row>
    <row r="4" spans="1:18" x14ac:dyDescent="0.2">
      <c r="A4" s="7">
        <v>43891</v>
      </c>
      <c r="B4" s="3">
        <v>2020</v>
      </c>
      <c r="C4" s="3">
        <v>3</v>
      </c>
      <c r="D4" s="3">
        <v>138.79893196776621</v>
      </c>
      <c r="E4" s="3">
        <v>80.919238396005085</v>
      </c>
      <c r="F4" s="3">
        <v>85.812132910123523</v>
      </c>
      <c r="G4" s="3">
        <v>98.964549620461412</v>
      </c>
      <c r="H4" s="3">
        <v>146.29744581011491</v>
      </c>
      <c r="I4" s="3">
        <v>97.6967900473566</v>
      </c>
      <c r="J4" s="3">
        <v>126.9819659690104</v>
      </c>
      <c r="K4" s="3">
        <v>102.4304472901662</v>
      </c>
      <c r="L4" s="3">
        <v>163.95508843464731</v>
      </c>
      <c r="M4" s="3">
        <v>171.1875554480888</v>
      </c>
      <c r="N4" s="3">
        <v>129.5760538109993</v>
      </c>
      <c r="O4" s="3">
        <v>154.35987509925641</v>
      </c>
      <c r="P4" s="3">
        <v>158.28214775768319</v>
      </c>
      <c r="Q4" s="3">
        <v>169.0153111017986</v>
      </c>
      <c r="R4" s="3">
        <v>163.64872942974091</v>
      </c>
    </row>
    <row r="5" spans="1:18" x14ac:dyDescent="0.2">
      <c r="A5" s="7">
        <v>43922</v>
      </c>
      <c r="B5" s="3">
        <v>2020</v>
      </c>
      <c r="C5" s="3">
        <v>4</v>
      </c>
      <c r="D5" s="3">
        <v>210.48256815936861</v>
      </c>
      <c r="E5" s="3">
        <v>128.83596626525451</v>
      </c>
      <c r="F5" s="3">
        <v>69.766034134198023</v>
      </c>
      <c r="G5" s="3">
        <v>78.015611270969515</v>
      </c>
      <c r="H5" s="3">
        <v>119.9871948489201</v>
      </c>
      <c r="I5" s="3">
        <v>43.886062875566807</v>
      </c>
      <c r="J5" s="3">
        <v>106.4937171886599</v>
      </c>
      <c r="K5" s="3">
        <v>24.080340462162429</v>
      </c>
      <c r="L5" s="3">
        <v>143.87525244207299</v>
      </c>
      <c r="M5" s="3">
        <v>165.4684619307194</v>
      </c>
      <c r="N5" s="3">
        <v>116.1109986068559</v>
      </c>
      <c r="O5" s="3">
        <v>135.0684708060528</v>
      </c>
      <c r="P5" s="3">
        <v>145.01253267982361</v>
      </c>
      <c r="Q5" s="3">
        <v>125.1048533687748</v>
      </c>
      <c r="R5" s="3">
        <v>135.0586930242992</v>
      </c>
    </row>
    <row r="6" spans="1:18" x14ac:dyDescent="0.2">
      <c r="A6" s="7">
        <v>43952</v>
      </c>
      <c r="B6" s="3">
        <v>2020</v>
      </c>
      <c r="C6" s="3">
        <v>5</v>
      </c>
      <c r="D6" s="3">
        <v>294.48952168492133</v>
      </c>
      <c r="E6" s="3">
        <v>153.34524986703741</v>
      </c>
      <c r="F6" s="3">
        <v>74.910883417760786</v>
      </c>
      <c r="G6" s="3">
        <v>93.104996135976791</v>
      </c>
      <c r="H6" s="3">
        <v>132.7566942809398</v>
      </c>
      <c r="I6" s="3">
        <v>75.022610087133046</v>
      </c>
      <c r="J6" s="3">
        <v>118.08849573854761</v>
      </c>
      <c r="K6" s="3">
        <v>42.754244622382942</v>
      </c>
      <c r="L6" s="3">
        <v>162.27753680441461</v>
      </c>
      <c r="M6" s="3">
        <v>155.63397140243731</v>
      </c>
      <c r="N6" s="3">
        <v>122.7022619251305</v>
      </c>
      <c r="O6" s="3">
        <v>136.45071011210439</v>
      </c>
      <c r="P6" s="3">
        <v>149.29120799861781</v>
      </c>
      <c r="Q6" s="3">
        <v>154.79296649660481</v>
      </c>
      <c r="R6" s="3">
        <v>152.04208724761131</v>
      </c>
    </row>
    <row r="7" spans="1:18" x14ac:dyDescent="0.2">
      <c r="A7" s="7">
        <v>43983</v>
      </c>
      <c r="B7" s="3">
        <v>2020</v>
      </c>
      <c r="C7" s="3">
        <v>6</v>
      </c>
      <c r="D7" s="3">
        <v>200.8947649284838</v>
      </c>
      <c r="E7" s="3">
        <v>88.796219650445025</v>
      </c>
      <c r="F7" s="3">
        <v>75.175480220849494</v>
      </c>
      <c r="G7" s="3">
        <v>113.4110416490749</v>
      </c>
      <c r="H7" s="3">
        <v>143.29376978229709</v>
      </c>
      <c r="I7" s="3">
        <v>95.340610725859648</v>
      </c>
      <c r="J7" s="3">
        <v>133.5231444634361</v>
      </c>
      <c r="K7" s="3">
        <v>58.574989914433573</v>
      </c>
      <c r="L7" s="3">
        <v>158.98517239336331</v>
      </c>
      <c r="M7" s="3">
        <v>166.86491275810451</v>
      </c>
      <c r="N7" s="3">
        <v>128.61072901282381</v>
      </c>
      <c r="O7" s="3">
        <v>137.2975491811558</v>
      </c>
      <c r="P7" s="3">
        <v>149.84682365560789</v>
      </c>
      <c r="Q7" s="3">
        <v>163.00889103089739</v>
      </c>
      <c r="R7" s="3">
        <v>156.4278573432527</v>
      </c>
    </row>
    <row r="8" spans="1:18" x14ac:dyDescent="0.2">
      <c r="A8" s="7">
        <v>44013</v>
      </c>
      <c r="B8" s="3">
        <v>2020</v>
      </c>
      <c r="C8" s="3">
        <v>7</v>
      </c>
      <c r="D8" s="3">
        <v>117.04970703814671</v>
      </c>
      <c r="E8" s="3">
        <v>86.843410379486514</v>
      </c>
      <c r="F8" s="3">
        <v>78.698086574184629</v>
      </c>
      <c r="G8" s="3">
        <v>114.60883217305791</v>
      </c>
      <c r="H8" s="3">
        <v>158.8598952832688</v>
      </c>
      <c r="I8" s="3">
        <v>114.835268830606</v>
      </c>
      <c r="J8" s="3">
        <v>136.1619708566293</v>
      </c>
      <c r="K8" s="3">
        <v>58.855169162131688</v>
      </c>
      <c r="L8" s="3">
        <v>150.62535977184751</v>
      </c>
      <c r="M8" s="3">
        <v>166.5292250407314</v>
      </c>
      <c r="N8" s="3">
        <v>130.2477744093699</v>
      </c>
      <c r="O8" s="3">
        <v>141.06344466814721</v>
      </c>
      <c r="P8" s="3">
        <v>153.4598256822469</v>
      </c>
      <c r="Q8" s="3">
        <v>164.44574819718949</v>
      </c>
      <c r="R8" s="3">
        <v>158.95278693971821</v>
      </c>
    </row>
    <row r="9" spans="1:18" x14ac:dyDescent="0.2">
      <c r="A9" s="7">
        <v>44044</v>
      </c>
      <c r="B9" s="3">
        <v>2020</v>
      </c>
      <c r="C9" s="3">
        <v>8</v>
      </c>
      <c r="D9" s="3">
        <v>75.823747820489885</v>
      </c>
      <c r="E9" s="3">
        <v>264.27940882804268</v>
      </c>
      <c r="F9" s="3">
        <v>80.995708617464331</v>
      </c>
      <c r="G9" s="3">
        <v>114.39875196317639</v>
      </c>
      <c r="H9" s="3">
        <v>144.58100366839739</v>
      </c>
      <c r="I9" s="3">
        <v>117.713279971405</v>
      </c>
      <c r="J9" s="3">
        <v>134.44212091466341</v>
      </c>
      <c r="K9" s="3">
        <v>71.335315027583377</v>
      </c>
      <c r="L9" s="3">
        <v>149.949973374243</v>
      </c>
      <c r="M9" s="3">
        <v>171.17913126392369</v>
      </c>
      <c r="N9" s="3">
        <v>134.64433869188019</v>
      </c>
      <c r="O9" s="3">
        <v>140.02553378434689</v>
      </c>
      <c r="P9" s="3">
        <v>153.09200799719281</v>
      </c>
      <c r="Q9" s="3">
        <v>162.4829585431408</v>
      </c>
      <c r="R9" s="3">
        <v>157.7874832701668</v>
      </c>
    </row>
    <row r="10" spans="1:18" x14ac:dyDescent="0.2">
      <c r="A10" s="7">
        <v>44075</v>
      </c>
      <c r="B10" s="3">
        <v>2020</v>
      </c>
      <c r="C10" s="3">
        <v>9</v>
      </c>
      <c r="D10" s="3">
        <v>73.787097365823925</v>
      </c>
      <c r="E10" s="3">
        <v>237.46872488535459</v>
      </c>
      <c r="F10" s="3">
        <v>77.02575241331968</v>
      </c>
      <c r="G10" s="3">
        <v>119.2529194675179</v>
      </c>
      <c r="H10" s="3">
        <v>133.95363039404671</v>
      </c>
      <c r="I10" s="3">
        <v>116.4657875135662</v>
      </c>
      <c r="J10" s="3">
        <v>141.84240321184319</v>
      </c>
      <c r="K10" s="3">
        <v>63.822216166369067</v>
      </c>
      <c r="L10" s="3">
        <v>152.136123492743</v>
      </c>
      <c r="M10" s="3">
        <v>167.26529126176911</v>
      </c>
      <c r="N10" s="3">
        <v>135.81789891183701</v>
      </c>
      <c r="O10" s="3">
        <v>140.58376310649001</v>
      </c>
      <c r="P10" s="3">
        <v>155.10667349005629</v>
      </c>
      <c r="Q10" s="3">
        <v>166.23306556152519</v>
      </c>
      <c r="R10" s="3">
        <v>160.6698695257908</v>
      </c>
    </row>
    <row r="11" spans="1:18" x14ac:dyDescent="0.2">
      <c r="A11" s="7">
        <v>44105</v>
      </c>
      <c r="B11" s="3">
        <v>2020</v>
      </c>
      <c r="C11" s="3">
        <v>10</v>
      </c>
      <c r="D11" s="3">
        <v>73.327101166459627</v>
      </c>
      <c r="E11" s="3">
        <v>162.64908789165051</v>
      </c>
      <c r="F11" s="3">
        <v>79.67516748562818</v>
      </c>
      <c r="G11" s="3">
        <v>127.434888962304</v>
      </c>
      <c r="H11" s="3">
        <v>132.34635754429181</v>
      </c>
      <c r="I11" s="3">
        <v>133.11965328772871</v>
      </c>
      <c r="J11" s="3">
        <v>145.26536712896771</v>
      </c>
      <c r="K11" s="3">
        <v>75.241091089540305</v>
      </c>
      <c r="L11" s="3">
        <v>151.68674913955289</v>
      </c>
      <c r="M11" s="3">
        <v>172.65111619952069</v>
      </c>
      <c r="N11" s="3">
        <v>137.68022997357099</v>
      </c>
      <c r="O11" s="3">
        <v>143.1518709065985</v>
      </c>
      <c r="P11" s="3">
        <v>156.54106000497211</v>
      </c>
      <c r="Q11" s="3">
        <v>169.68620082451659</v>
      </c>
      <c r="R11" s="3">
        <v>163.11363041474439</v>
      </c>
    </row>
    <row r="12" spans="1:18" x14ac:dyDescent="0.2">
      <c r="A12" s="7">
        <v>44136</v>
      </c>
      <c r="B12" s="3">
        <v>2020</v>
      </c>
      <c r="C12" s="3">
        <v>11</v>
      </c>
      <c r="D12" s="3">
        <v>86.96627386181261</v>
      </c>
      <c r="E12" s="3">
        <v>86.643433502258659</v>
      </c>
      <c r="F12" s="3">
        <v>76.553092981060317</v>
      </c>
      <c r="G12" s="3">
        <v>124.649212857153</v>
      </c>
      <c r="H12" s="3">
        <v>139.37381320808279</v>
      </c>
      <c r="I12" s="3">
        <v>137.34945329481531</v>
      </c>
      <c r="J12" s="3">
        <v>144.48519660443671</v>
      </c>
      <c r="K12" s="3">
        <v>77.98433096161834</v>
      </c>
      <c r="L12" s="3">
        <v>153.16144155949809</v>
      </c>
      <c r="M12" s="3">
        <v>169.18794928903901</v>
      </c>
      <c r="N12" s="3">
        <v>139.68284300157541</v>
      </c>
      <c r="O12" s="3">
        <v>143.308596198706</v>
      </c>
      <c r="P12" s="3">
        <v>156.78657990555891</v>
      </c>
      <c r="Q12" s="3">
        <v>169.72032850319371</v>
      </c>
      <c r="R12" s="3">
        <v>163.25345420437631</v>
      </c>
    </row>
    <row r="13" spans="1:18" x14ac:dyDescent="0.2">
      <c r="A13" s="7">
        <v>44166</v>
      </c>
      <c r="B13" s="3">
        <v>2020</v>
      </c>
      <c r="C13" s="3">
        <v>12</v>
      </c>
      <c r="D13" s="3">
        <v>112.2561258820482</v>
      </c>
      <c r="E13" s="3">
        <v>103.05339148360549</v>
      </c>
      <c r="F13" s="3">
        <v>80.783700215228052</v>
      </c>
      <c r="G13" s="3">
        <v>118.55057905764301</v>
      </c>
      <c r="H13" s="3">
        <v>149.97531348699289</v>
      </c>
      <c r="I13" s="3">
        <v>136.60752188062631</v>
      </c>
      <c r="J13" s="3">
        <v>144.66511551722809</v>
      </c>
      <c r="K13" s="3">
        <v>90.324137532183713</v>
      </c>
      <c r="L13" s="3">
        <v>150.69677385468731</v>
      </c>
      <c r="M13" s="3">
        <v>175.9548807423819</v>
      </c>
      <c r="N13" s="3">
        <v>142.2700677894413</v>
      </c>
      <c r="O13" s="3">
        <v>144.27703531781469</v>
      </c>
      <c r="P13" s="3">
        <v>157.8722199974234</v>
      </c>
      <c r="Q13" s="3">
        <v>163.65352255971581</v>
      </c>
      <c r="R13" s="3">
        <v>160.76287127856961</v>
      </c>
    </row>
    <row r="14" spans="1:18" x14ac:dyDescent="0.2">
      <c r="A14" s="7">
        <v>44197</v>
      </c>
      <c r="B14" s="3">
        <v>2021</v>
      </c>
      <c r="C14" s="3">
        <v>1</v>
      </c>
      <c r="D14" s="3">
        <v>86.974606111747903</v>
      </c>
      <c r="E14" s="3">
        <v>126.5362409283272</v>
      </c>
      <c r="F14" s="3">
        <v>79.526792495313245</v>
      </c>
      <c r="G14" s="3">
        <v>106.25917619020569</v>
      </c>
      <c r="H14" s="3">
        <v>151.01554674302821</v>
      </c>
      <c r="I14" s="3">
        <v>145.53881472982241</v>
      </c>
      <c r="J14" s="3">
        <v>134.90909411202671</v>
      </c>
      <c r="K14" s="3">
        <v>111.7820090447218</v>
      </c>
      <c r="L14" s="3">
        <v>158.01002188152339</v>
      </c>
      <c r="M14" s="3">
        <v>165.4685986915961</v>
      </c>
      <c r="N14" s="3">
        <v>138.78795654102541</v>
      </c>
      <c r="O14" s="3">
        <v>146.72805779362909</v>
      </c>
      <c r="P14" s="3">
        <v>152.80922756101509</v>
      </c>
      <c r="Q14" s="3">
        <v>178.06103389356949</v>
      </c>
      <c r="R14" s="3">
        <v>165.43513072729229</v>
      </c>
    </row>
    <row r="15" spans="1:18" x14ac:dyDescent="0.2">
      <c r="A15" s="7">
        <v>44228</v>
      </c>
      <c r="B15" s="3">
        <v>2021</v>
      </c>
      <c r="C15" s="3">
        <v>2</v>
      </c>
      <c r="D15" s="3">
        <v>71.787886683381899</v>
      </c>
      <c r="E15" s="3">
        <v>161.33687698543531</v>
      </c>
      <c r="F15" s="3">
        <v>75.830205437067505</v>
      </c>
      <c r="G15" s="3">
        <v>103.45540009199161</v>
      </c>
      <c r="H15" s="3">
        <v>128.49517383267261</v>
      </c>
      <c r="I15" s="3">
        <v>141.89825753597449</v>
      </c>
      <c r="J15" s="3">
        <v>135.8528171050296</v>
      </c>
      <c r="K15" s="3">
        <v>112.214333046197</v>
      </c>
      <c r="L15" s="3">
        <v>153.56411709588241</v>
      </c>
      <c r="M15" s="3">
        <v>159.7048449443229</v>
      </c>
      <c r="N15" s="3">
        <v>137.6995098962357</v>
      </c>
      <c r="O15" s="3">
        <v>147.44829242053859</v>
      </c>
      <c r="P15" s="3">
        <v>154.16099455437629</v>
      </c>
      <c r="Q15" s="3">
        <v>170.47970998747431</v>
      </c>
      <c r="R15" s="3">
        <v>162.3203522709253</v>
      </c>
    </row>
    <row r="16" spans="1:18" x14ac:dyDescent="0.2">
      <c r="A16" s="7">
        <v>44256</v>
      </c>
      <c r="B16" s="3">
        <v>2021</v>
      </c>
      <c r="C16" s="3">
        <v>3</v>
      </c>
      <c r="D16" s="3">
        <v>147.80017406073989</v>
      </c>
      <c r="E16" s="3">
        <v>136.11913354437439</v>
      </c>
      <c r="F16" s="3">
        <v>84.128477620830211</v>
      </c>
      <c r="G16" s="3">
        <v>129.5237310980323</v>
      </c>
      <c r="H16" s="3">
        <v>144.9257652752064</v>
      </c>
      <c r="I16" s="3">
        <v>152.5061885240319</v>
      </c>
      <c r="J16" s="3">
        <v>155.54687632819659</v>
      </c>
      <c r="K16" s="3">
        <v>91.899269180504476</v>
      </c>
      <c r="L16" s="3">
        <v>167.71302949327</v>
      </c>
      <c r="M16" s="3">
        <v>179.51204578726379</v>
      </c>
      <c r="N16" s="3">
        <v>142.57669023514811</v>
      </c>
      <c r="O16" s="3">
        <v>148.92595141662699</v>
      </c>
      <c r="P16" s="3">
        <v>159.41394065016749</v>
      </c>
      <c r="Q16" s="3">
        <v>185.34016486799149</v>
      </c>
      <c r="R16" s="3">
        <v>172.3770527590795</v>
      </c>
    </row>
    <row r="17" spans="1:18" x14ac:dyDescent="0.2">
      <c r="A17" s="7">
        <v>44287</v>
      </c>
      <c r="B17" s="3">
        <v>2021</v>
      </c>
      <c r="C17" s="3">
        <v>4</v>
      </c>
      <c r="D17" s="3">
        <v>207.70914135466941</v>
      </c>
      <c r="E17" s="3">
        <v>133.06229548029441</v>
      </c>
      <c r="F17" s="3">
        <v>82.537560311363251</v>
      </c>
      <c r="G17" s="3">
        <v>123.3167253252968</v>
      </c>
      <c r="H17" s="3">
        <v>134.5853714316512</v>
      </c>
      <c r="I17" s="3">
        <v>137.98506975433179</v>
      </c>
      <c r="J17" s="3">
        <v>151.53322169229139</v>
      </c>
      <c r="K17" s="3">
        <v>98.857913411602368</v>
      </c>
      <c r="L17" s="3">
        <v>170.32166226621271</v>
      </c>
      <c r="M17" s="3">
        <v>170.8303095979835</v>
      </c>
      <c r="N17" s="3">
        <v>143.93229852058511</v>
      </c>
      <c r="O17" s="3">
        <v>146.30392530788811</v>
      </c>
      <c r="P17" s="3">
        <v>156.14508984078361</v>
      </c>
      <c r="Q17" s="3">
        <v>188.17575352677099</v>
      </c>
      <c r="R17" s="3">
        <v>172.16042168377729</v>
      </c>
    </row>
    <row r="18" spans="1:18" x14ac:dyDescent="0.2">
      <c r="A18" s="7">
        <v>44317</v>
      </c>
      <c r="B18" s="3">
        <v>2021</v>
      </c>
      <c r="C18" s="3">
        <v>5</v>
      </c>
      <c r="D18" s="3">
        <v>282.04636495372341</v>
      </c>
      <c r="E18" s="3">
        <v>158.33622266686791</v>
      </c>
      <c r="F18" s="3">
        <v>90.395752170166361</v>
      </c>
      <c r="G18" s="3">
        <v>122.08775205075089</v>
      </c>
      <c r="H18" s="3">
        <v>146.80618291896499</v>
      </c>
      <c r="I18" s="3">
        <v>124.46014044577269</v>
      </c>
      <c r="J18" s="3">
        <v>148.7367237994165</v>
      </c>
      <c r="K18" s="3">
        <v>91.449755271960996</v>
      </c>
      <c r="L18" s="3">
        <v>175.3682287383287</v>
      </c>
      <c r="M18" s="3">
        <v>156.55073098171621</v>
      </c>
      <c r="N18" s="3">
        <v>142.11389951971839</v>
      </c>
      <c r="O18" s="3">
        <v>147.3501703295633</v>
      </c>
      <c r="P18" s="3">
        <v>157.02468159172639</v>
      </c>
      <c r="Q18" s="3">
        <v>193.13552085329661</v>
      </c>
      <c r="R18" s="3">
        <v>175.0801012225115</v>
      </c>
    </row>
    <row r="19" spans="1:18" x14ac:dyDescent="0.2">
      <c r="A19" s="7">
        <v>44348</v>
      </c>
      <c r="B19" s="3">
        <v>2021</v>
      </c>
      <c r="C19" s="3">
        <v>6</v>
      </c>
      <c r="D19" s="3">
        <v>192.86709704719061</v>
      </c>
      <c r="E19" s="3">
        <v>186.5871439187122</v>
      </c>
      <c r="F19" s="3">
        <v>87.021932416824527</v>
      </c>
      <c r="G19" s="3">
        <v>133.05255246432321</v>
      </c>
      <c r="H19" s="3">
        <v>157.88061371832501</v>
      </c>
      <c r="I19" s="3">
        <v>135.99230747765921</v>
      </c>
      <c r="J19" s="3">
        <v>155.80001791336809</v>
      </c>
      <c r="K19" s="3">
        <v>92.643155114314453</v>
      </c>
      <c r="L19" s="3">
        <v>174.10666839008491</v>
      </c>
      <c r="M19" s="3">
        <v>163.700496286299</v>
      </c>
      <c r="N19" s="3">
        <v>144.73544760929809</v>
      </c>
      <c r="O19" s="3">
        <v>148.2125705600526</v>
      </c>
      <c r="P19" s="3">
        <v>157.90089852711381</v>
      </c>
      <c r="Q19" s="3">
        <v>199.64763383679991</v>
      </c>
      <c r="R19" s="3">
        <v>178.77426618195679</v>
      </c>
    </row>
    <row r="20" spans="1:18" x14ac:dyDescent="0.2">
      <c r="A20" s="7">
        <v>44378</v>
      </c>
      <c r="B20" s="3">
        <v>2021</v>
      </c>
      <c r="C20" s="3">
        <v>7</v>
      </c>
      <c r="D20" s="3">
        <v>115.64226963500749</v>
      </c>
      <c r="E20" s="3">
        <v>286.60974142620489</v>
      </c>
      <c r="F20" s="3">
        <v>88.701682975137913</v>
      </c>
      <c r="G20" s="3">
        <v>129.64688192270171</v>
      </c>
      <c r="H20" s="3">
        <v>163.91217308132769</v>
      </c>
      <c r="I20" s="3">
        <v>141.52888477229391</v>
      </c>
      <c r="J20" s="3">
        <v>151.57414965685581</v>
      </c>
      <c r="K20" s="3">
        <v>104.50098575083589</v>
      </c>
      <c r="L20" s="3">
        <v>168.78618850343531</v>
      </c>
      <c r="M20" s="3">
        <v>162.4300561902707</v>
      </c>
      <c r="N20" s="3">
        <v>143.8199602006431</v>
      </c>
      <c r="O20" s="3">
        <v>150.7152302969447</v>
      </c>
      <c r="P20" s="3">
        <v>158.77894636450529</v>
      </c>
      <c r="Q20" s="3">
        <v>182.24289667665579</v>
      </c>
      <c r="R20" s="3">
        <v>170.5109215205805</v>
      </c>
    </row>
    <row r="21" spans="1:18" x14ac:dyDescent="0.2">
      <c r="A21" s="7">
        <v>44409</v>
      </c>
      <c r="B21" s="3">
        <v>2021</v>
      </c>
      <c r="C21" s="3">
        <v>8</v>
      </c>
      <c r="D21" s="3">
        <v>78.587414623955354</v>
      </c>
      <c r="E21" s="3">
        <v>274.71223063327233</v>
      </c>
      <c r="F21" s="3">
        <v>90.497178113832206</v>
      </c>
      <c r="G21" s="3">
        <v>130.63503370176741</v>
      </c>
      <c r="H21" s="3">
        <v>158.17023301610749</v>
      </c>
      <c r="I21" s="3">
        <v>150.72616312406839</v>
      </c>
      <c r="J21" s="3">
        <v>152.6933780407125</v>
      </c>
      <c r="K21" s="3">
        <v>113.76549373944491</v>
      </c>
      <c r="L21" s="3">
        <v>170.1474958865503</v>
      </c>
      <c r="M21" s="3">
        <v>169.16181603608899</v>
      </c>
      <c r="N21" s="3">
        <v>145.07236485142741</v>
      </c>
      <c r="O21" s="3">
        <v>150.99928466454631</v>
      </c>
      <c r="P21" s="3">
        <v>161.67670511845799</v>
      </c>
      <c r="Q21" s="3">
        <v>182.28224992384531</v>
      </c>
      <c r="R21" s="3">
        <v>171.97947752115161</v>
      </c>
    </row>
    <row r="22" spans="1:18" x14ac:dyDescent="0.2">
      <c r="A22" s="7">
        <v>44440</v>
      </c>
      <c r="B22" s="3">
        <v>2021</v>
      </c>
      <c r="C22" s="3">
        <v>9</v>
      </c>
      <c r="D22" s="3">
        <v>74.200910133273638</v>
      </c>
      <c r="E22" s="3">
        <v>218.11969626326379</v>
      </c>
      <c r="F22" s="3">
        <v>90.122640495680798</v>
      </c>
      <c r="G22" s="3">
        <v>131.99133095649631</v>
      </c>
      <c r="H22" s="3">
        <v>139.62006354084531</v>
      </c>
      <c r="I22" s="3">
        <v>149.73561716517401</v>
      </c>
      <c r="J22" s="3">
        <v>154.0208454790058</v>
      </c>
      <c r="K22" s="3">
        <v>120.3450500406227</v>
      </c>
      <c r="L22" s="3">
        <v>170.88541607466291</v>
      </c>
      <c r="M22" s="3">
        <v>165.70501987013819</v>
      </c>
      <c r="N22" s="3">
        <v>146.38168912656221</v>
      </c>
      <c r="O22" s="3">
        <v>152.60833140576131</v>
      </c>
      <c r="P22" s="3">
        <v>163.4317966045096</v>
      </c>
      <c r="Q22" s="3">
        <v>179.4026979242752</v>
      </c>
      <c r="R22" s="3">
        <v>171.41724726439239</v>
      </c>
    </row>
    <row r="23" spans="1:18" x14ac:dyDescent="0.2">
      <c r="A23" s="7">
        <v>44470</v>
      </c>
      <c r="B23" s="3">
        <v>2021</v>
      </c>
      <c r="C23" s="3">
        <v>10</v>
      </c>
      <c r="D23" s="3">
        <v>75.616647170626123</v>
      </c>
      <c r="E23" s="3">
        <v>119.0274482680362</v>
      </c>
      <c r="F23" s="3">
        <v>91.930674388940275</v>
      </c>
      <c r="G23" s="3">
        <v>133.6792890809819</v>
      </c>
      <c r="H23" s="3">
        <v>129.20955731499811</v>
      </c>
      <c r="I23" s="3">
        <v>140.8169877298408</v>
      </c>
      <c r="J23" s="3">
        <v>151.7536061559486</v>
      </c>
      <c r="K23" s="3">
        <v>113.9562192359232</v>
      </c>
      <c r="L23" s="3">
        <v>170.94184434219079</v>
      </c>
      <c r="M23" s="3">
        <v>168.8934057337336</v>
      </c>
      <c r="N23" s="3">
        <v>146.36246608107871</v>
      </c>
      <c r="O23" s="3">
        <v>159.815986597185</v>
      </c>
      <c r="P23" s="3">
        <v>164.3654231281929</v>
      </c>
      <c r="Q23" s="3">
        <v>174.0566303199121</v>
      </c>
      <c r="R23" s="3">
        <v>169.21102672405249</v>
      </c>
    </row>
    <row r="24" spans="1:18" x14ac:dyDescent="0.2">
      <c r="A24" s="7">
        <v>44501</v>
      </c>
      <c r="B24" s="3">
        <v>2021</v>
      </c>
      <c r="C24" s="3">
        <v>11</v>
      </c>
      <c r="D24" s="3">
        <v>92.518548854989845</v>
      </c>
      <c r="E24" s="3">
        <v>91.174622342478514</v>
      </c>
      <c r="F24" s="3">
        <v>90.271285612597325</v>
      </c>
      <c r="G24" s="3">
        <v>137.7410536683127</v>
      </c>
      <c r="H24" s="3">
        <v>139.50962944151959</v>
      </c>
      <c r="I24" s="3">
        <v>144.83112654406281</v>
      </c>
      <c r="J24" s="3">
        <v>158.6335540044592</v>
      </c>
      <c r="K24" s="3">
        <v>119.1845613470315</v>
      </c>
      <c r="L24" s="3">
        <v>174.67178297703691</v>
      </c>
      <c r="M24" s="3">
        <v>172.1381182770013</v>
      </c>
      <c r="N24" s="3">
        <v>149.29578022978379</v>
      </c>
      <c r="O24" s="3">
        <v>160.5072168454401</v>
      </c>
      <c r="P24" s="3">
        <v>164.7852895554806</v>
      </c>
      <c r="Q24" s="3">
        <v>174.10594481793299</v>
      </c>
      <c r="R24" s="3">
        <v>169.44561718670681</v>
      </c>
    </row>
    <row r="25" spans="1:18" x14ac:dyDescent="0.2">
      <c r="A25" s="7">
        <v>44531</v>
      </c>
      <c r="B25" s="3">
        <v>2021</v>
      </c>
      <c r="C25" s="3">
        <v>12</v>
      </c>
      <c r="D25" s="3">
        <v>129.44161237202161</v>
      </c>
      <c r="E25" s="3">
        <v>106.3818089148665</v>
      </c>
      <c r="F25" s="3">
        <v>92.479691434149018</v>
      </c>
      <c r="G25" s="3">
        <v>131.04457073314541</v>
      </c>
      <c r="H25" s="3">
        <v>154.8584230178493</v>
      </c>
      <c r="I25" s="3">
        <v>141.64760319910081</v>
      </c>
      <c r="J25" s="3">
        <v>155.10929639360751</v>
      </c>
      <c r="K25" s="3">
        <v>126.55591867643901</v>
      </c>
      <c r="L25" s="3">
        <v>176.31510823696101</v>
      </c>
      <c r="M25" s="3">
        <v>174.98367284851699</v>
      </c>
      <c r="N25" s="3">
        <v>151.1733071478491</v>
      </c>
      <c r="O25" s="3">
        <v>161.23161935057931</v>
      </c>
      <c r="P25" s="3">
        <v>166.44216016789221</v>
      </c>
      <c r="Q25" s="3">
        <v>167.41608258725589</v>
      </c>
      <c r="R25" s="3">
        <v>166.92912137757409</v>
      </c>
    </row>
    <row r="26" spans="1:18" x14ac:dyDescent="0.2">
      <c r="A26" s="7">
        <v>44562</v>
      </c>
      <c r="B26" s="3">
        <v>2022</v>
      </c>
      <c r="C26" s="3">
        <v>1</v>
      </c>
      <c r="D26" s="3">
        <v>102.9574132157485</v>
      </c>
      <c r="E26" s="3">
        <v>111.84315261577559</v>
      </c>
      <c r="F26" s="3">
        <v>93.53114018676888</v>
      </c>
      <c r="G26" s="3">
        <v>105.5656623963045</v>
      </c>
      <c r="H26" s="3">
        <v>164.04625809745031</v>
      </c>
      <c r="I26" s="3">
        <v>146.29942118227311</v>
      </c>
      <c r="J26" s="3">
        <v>139.2578993952784</v>
      </c>
      <c r="K26" s="3">
        <v>167.38155944577309</v>
      </c>
      <c r="L26" s="3">
        <v>171.12480280476839</v>
      </c>
      <c r="M26" s="3">
        <v>170.7257697874461</v>
      </c>
      <c r="N26" s="3">
        <v>144.6735364516133</v>
      </c>
      <c r="O26" s="3">
        <v>161.34227260662479</v>
      </c>
      <c r="P26" s="3">
        <v>160.14279020933969</v>
      </c>
      <c r="Q26" s="3">
        <v>183.27304966326139</v>
      </c>
      <c r="R26" s="3">
        <v>171.7079199363005</v>
      </c>
    </row>
    <row r="27" spans="1:18" x14ac:dyDescent="0.2">
      <c r="A27" s="7">
        <v>44593</v>
      </c>
      <c r="B27" s="3">
        <v>2022</v>
      </c>
      <c r="C27" s="3">
        <v>2</v>
      </c>
      <c r="D27" s="3">
        <v>78.750981390877925</v>
      </c>
      <c r="E27" s="3">
        <v>160.2263747211023</v>
      </c>
      <c r="F27" s="3">
        <v>84.624005613119706</v>
      </c>
      <c r="G27" s="3">
        <v>114.31190346263941</v>
      </c>
      <c r="H27" s="3">
        <v>136.4414492308093</v>
      </c>
      <c r="I27" s="3">
        <v>150.83267152978041</v>
      </c>
      <c r="J27" s="3">
        <v>145.31905867760281</v>
      </c>
      <c r="K27" s="3">
        <v>164.62502072737749</v>
      </c>
      <c r="L27" s="3">
        <v>172.23432848344291</v>
      </c>
      <c r="M27" s="3">
        <v>161.67681322391181</v>
      </c>
      <c r="N27" s="3">
        <v>145.84302882644849</v>
      </c>
      <c r="O27" s="3">
        <v>161.6578746132879</v>
      </c>
      <c r="P27" s="3">
        <v>161.51263104819199</v>
      </c>
      <c r="Q27" s="3">
        <v>174.50096444910361</v>
      </c>
      <c r="R27" s="3">
        <v>168.00679774864781</v>
      </c>
    </row>
    <row r="28" spans="1:18" x14ac:dyDescent="0.2">
      <c r="A28" s="7">
        <v>44621</v>
      </c>
      <c r="B28" s="3">
        <v>2022</v>
      </c>
      <c r="C28" s="3">
        <v>3</v>
      </c>
      <c r="D28" s="3">
        <v>150.4226942704008</v>
      </c>
      <c r="E28" s="3">
        <v>128.9958129190849</v>
      </c>
      <c r="F28" s="3">
        <v>95.194590618513729</v>
      </c>
      <c r="G28" s="3">
        <v>134.51082946908809</v>
      </c>
      <c r="H28" s="3">
        <v>146.0160006277402</v>
      </c>
      <c r="I28" s="3">
        <v>156.3378844148655</v>
      </c>
      <c r="J28" s="3">
        <v>161.98968623513181</v>
      </c>
      <c r="K28" s="3">
        <v>130.70448604427861</v>
      </c>
      <c r="L28" s="3">
        <v>184.85307102209501</v>
      </c>
      <c r="M28" s="3">
        <v>180.24362359268551</v>
      </c>
      <c r="N28" s="3">
        <v>148.873425617495</v>
      </c>
      <c r="O28" s="3">
        <v>161.47135027024879</v>
      </c>
      <c r="P28" s="3">
        <v>165.25613644826561</v>
      </c>
      <c r="Q28" s="3">
        <v>188.49430212124139</v>
      </c>
      <c r="R28" s="3">
        <v>176.87521928475351</v>
      </c>
    </row>
    <row r="29" spans="1:18" x14ac:dyDescent="0.2">
      <c r="A29" s="7">
        <v>44652</v>
      </c>
      <c r="B29" s="3">
        <v>2022</v>
      </c>
      <c r="C29" s="3">
        <v>4</v>
      </c>
      <c r="D29" s="3">
        <v>202.9111974407848</v>
      </c>
      <c r="E29" s="3">
        <v>211.13754333616799</v>
      </c>
      <c r="F29" s="3">
        <v>95.47597844732374</v>
      </c>
      <c r="G29" s="3">
        <v>129.12816730821999</v>
      </c>
      <c r="H29" s="3">
        <v>138.64010864800059</v>
      </c>
      <c r="I29" s="3">
        <v>151.2662327335193</v>
      </c>
      <c r="J29" s="3">
        <v>161.6426749659548</v>
      </c>
      <c r="K29" s="3">
        <v>111.4901735525937</v>
      </c>
      <c r="L29" s="3">
        <v>189.2227540318639</v>
      </c>
      <c r="M29" s="3">
        <v>175.58866518691821</v>
      </c>
      <c r="N29" s="3">
        <v>151.53833254441841</v>
      </c>
      <c r="O29" s="3">
        <v>160.71627483012179</v>
      </c>
      <c r="P29" s="3">
        <v>164.97304871090469</v>
      </c>
      <c r="Q29" s="3">
        <v>191.12690459103229</v>
      </c>
      <c r="R29" s="3">
        <v>178.04997665096849</v>
      </c>
    </row>
    <row r="30" spans="1:18" x14ac:dyDescent="0.2">
      <c r="A30" s="7">
        <v>44682</v>
      </c>
      <c r="B30" s="3">
        <v>2022</v>
      </c>
      <c r="C30" s="3">
        <v>5</v>
      </c>
      <c r="D30" s="3">
        <v>272.01309262796917</v>
      </c>
      <c r="E30" s="3">
        <v>170.11888119145721</v>
      </c>
      <c r="F30" s="3">
        <v>104.09606564983321</v>
      </c>
      <c r="G30" s="3">
        <v>135.36644813388821</v>
      </c>
      <c r="H30" s="3">
        <v>155.968328440601</v>
      </c>
      <c r="I30" s="3">
        <v>145.64229287117789</v>
      </c>
      <c r="J30" s="3">
        <v>166.1640185198809</v>
      </c>
      <c r="K30" s="3">
        <v>137.14581788212189</v>
      </c>
      <c r="L30" s="3">
        <v>195.64057152350949</v>
      </c>
      <c r="M30" s="3">
        <v>159.3703161981868</v>
      </c>
      <c r="N30" s="3">
        <v>153.24728647414739</v>
      </c>
      <c r="O30" s="3">
        <v>160.9265212842615</v>
      </c>
      <c r="P30" s="3">
        <v>165.9525074610483</v>
      </c>
      <c r="Q30" s="3">
        <v>194.56510982691159</v>
      </c>
      <c r="R30" s="3">
        <v>180.25880864397999</v>
      </c>
    </row>
    <row r="31" spans="1:18" x14ac:dyDescent="0.2">
      <c r="A31" s="7">
        <v>44713</v>
      </c>
      <c r="B31" s="3">
        <v>2022</v>
      </c>
      <c r="C31" s="3">
        <v>6</v>
      </c>
      <c r="D31" s="3">
        <v>190.6076480075927</v>
      </c>
      <c r="E31" s="3">
        <v>200.87452766985871</v>
      </c>
      <c r="F31" s="3">
        <v>96.649526052540509</v>
      </c>
      <c r="G31" s="3">
        <v>141.39612443517319</v>
      </c>
      <c r="H31" s="3">
        <v>166.64152308070749</v>
      </c>
      <c r="I31" s="3">
        <v>149.8587874188523</v>
      </c>
      <c r="J31" s="3">
        <v>171.4227126519167</v>
      </c>
      <c r="K31" s="3">
        <v>163.7471665765255</v>
      </c>
      <c r="L31" s="3">
        <v>191.15997031192211</v>
      </c>
      <c r="M31" s="3">
        <v>167.6201466860951</v>
      </c>
      <c r="N31" s="3">
        <v>153.12018379087121</v>
      </c>
      <c r="O31" s="3">
        <v>162.5176790844917</v>
      </c>
      <c r="P31" s="3">
        <v>167.12104572473899</v>
      </c>
      <c r="Q31" s="3">
        <v>201.13025198122341</v>
      </c>
      <c r="R31" s="3">
        <v>184.12564885298119</v>
      </c>
    </row>
    <row r="32" spans="1:18" x14ac:dyDescent="0.2">
      <c r="A32" s="7">
        <v>44743</v>
      </c>
      <c r="B32" s="3">
        <v>2022</v>
      </c>
      <c r="C32" s="3">
        <v>7</v>
      </c>
      <c r="D32" s="3">
        <v>108.37983720826929</v>
      </c>
      <c r="E32" s="3">
        <v>275.90456112655261</v>
      </c>
      <c r="F32" s="3">
        <v>99.139226645029893</v>
      </c>
      <c r="G32" s="3">
        <v>137.47421249955019</v>
      </c>
      <c r="H32" s="3">
        <v>159.62380017165111</v>
      </c>
      <c r="I32" s="3">
        <v>151.0735300464807</v>
      </c>
      <c r="J32" s="3">
        <v>162.09686936092251</v>
      </c>
      <c r="K32" s="3">
        <v>133.62774267510949</v>
      </c>
      <c r="L32" s="3">
        <v>185.74071112078079</v>
      </c>
      <c r="M32" s="3">
        <v>166.62720872337999</v>
      </c>
      <c r="N32" s="3">
        <v>152.5590962776281</v>
      </c>
      <c r="O32" s="3">
        <v>162.10500877324591</v>
      </c>
      <c r="P32" s="3">
        <v>167.95204738705229</v>
      </c>
      <c r="Q32" s="3">
        <v>184.23103069141951</v>
      </c>
      <c r="R32" s="3">
        <v>176.0915390392359</v>
      </c>
    </row>
    <row r="33" spans="1:18" x14ac:dyDescent="0.2">
      <c r="A33" s="7">
        <v>44774</v>
      </c>
      <c r="B33" s="3">
        <v>2022</v>
      </c>
      <c r="C33" s="3">
        <v>8</v>
      </c>
      <c r="D33" s="3">
        <v>76.498872413711908</v>
      </c>
      <c r="E33" s="3">
        <v>292.38472962603231</v>
      </c>
      <c r="F33" s="3">
        <v>102.05838346847951</v>
      </c>
      <c r="G33" s="3">
        <v>141.53560993284839</v>
      </c>
      <c r="H33" s="3">
        <v>150.54356609646291</v>
      </c>
      <c r="I33" s="3">
        <v>161.95289125120351</v>
      </c>
      <c r="J33" s="3">
        <v>166.18252276704271</v>
      </c>
      <c r="K33" s="3">
        <v>142.75121791098169</v>
      </c>
      <c r="L33" s="3">
        <v>182.3032738618603</v>
      </c>
      <c r="M33" s="3">
        <v>168.95484860830371</v>
      </c>
      <c r="N33" s="3">
        <v>154.61320305318279</v>
      </c>
      <c r="O33" s="3">
        <v>161.5274072469993</v>
      </c>
      <c r="P33" s="3">
        <v>168.4840021395523</v>
      </c>
      <c r="Q33" s="3">
        <v>183.56049047038621</v>
      </c>
      <c r="R33" s="3">
        <v>176.02224630496929</v>
      </c>
    </row>
    <row r="34" spans="1:18" x14ac:dyDescent="0.2">
      <c r="A34" s="7">
        <v>44805</v>
      </c>
      <c r="B34" s="3">
        <v>2022</v>
      </c>
      <c r="C34" s="3">
        <v>9</v>
      </c>
      <c r="D34" s="3">
        <v>72.54274766996889</v>
      </c>
      <c r="E34" s="3">
        <v>212.27799063837281</v>
      </c>
      <c r="F34" s="3">
        <v>98.942189833863182</v>
      </c>
      <c r="G34" s="3">
        <v>137.2777426609552</v>
      </c>
      <c r="H34" s="3">
        <v>133.9181755232668</v>
      </c>
      <c r="I34" s="3">
        <v>159.98980002095561</v>
      </c>
      <c r="J34" s="3">
        <v>165.58132242868081</v>
      </c>
      <c r="K34" s="3">
        <v>133.01173417631949</v>
      </c>
      <c r="L34" s="3">
        <v>180.45654049955459</v>
      </c>
      <c r="M34" s="3">
        <v>162.68936341749159</v>
      </c>
      <c r="N34" s="3">
        <v>152.5514188290195</v>
      </c>
      <c r="O34" s="3">
        <v>162.2906079987884</v>
      </c>
      <c r="P34" s="3">
        <v>169.35766230982799</v>
      </c>
      <c r="Q34" s="3">
        <v>180.82351305750939</v>
      </c>
      <c r="R34" s="3">
        <v>175.0905876836687</v>
      </c>
    </row>
    <row r="35" spans="1:18" x14ac:dyDescent="0.2">
      <c r="A35" s="7">
        <v>44835</v>
      </c>
      <c r="B35" s="3">
        <v>2022</v>
      </c>
      <c r="C35" s="3">
        <v>10</v>
      </c>
      <c r="D35" s="3">
        <v>64.513820466554279</v>
      </c>
      <c r="E35" s="3">
        <v>85.890959277604935</v>
      </c>
      <c r="F35" s="3">
        <v>102.76662360118191</v>
      </c>
      <c r="G35" s="3">
        <v>138.31197236812159</v>
      </c>
      <c r="H35" s="3">
        <v>137.18813907725769</v>
      </c>
      <c r="I35" s="3">
        <v>146.38832476800201</v>
      </c>
      <c r="J35" s="3">
        <v>158.97714648987301</v>
      </c>
      <c r="K35" s="3">
        <v>150.02974740172871</v>
      </c>
      <c r="L35" s="3">
        <v>181.4660047088818</v>
      </c>
      <c r="M35" s="3">
        <v>163.77713362173259</v>
      </c>
      <c r="N35" s="3">
        <v>151.9072943050146</v>
      </c>
      <c r="O35" s="3">
        <v>161.92808286819289</v>
      </c>
      <c r="P35" s="3">
        <v>168.69910755685461</v>
      </c>
      <c r="Q35" s="3">
        <v>176.0236247812411</v>
      </c>
      <c r="R35" s="3">
        <v>172.3613661690479</v>
      </c>
    </row>
    <row r="36" spans="1:18" x14ac:dyDescent="0.2">
      <c r="A36" s="7">
        <v>44866</v>
      </c>
      <c r="B36" s="3">
        <v>2022</v>
      </c>
      <c r="C36" s="3">
        <v>11</v>
      </c>
      <c r="D36" s="3">
        <v>75.332294540239474</v>
      </c>
      <c r="E36" s="3">
        <v>76.567392681258724</v>
      </c>
      <c r="F36" s="3">
        <v>97.034810618421957</v>
      </c>
      <c r="G36" s="3">
        <v>139.7450141304659</v>
      </c>
      <c r="H36" s="3">
        <v>145.5928178721295</v>
      </c>
      <c r="I36" s="3">
        <v>149.69449811353209</v>
      </c>
      <c r="J36" s="3">
        <v>162.78683132133281</v>
      </c>
      <c r="K36" s="3">
        <v>149.86294155693349</v>
      </c>
      <c r="L36" s="3">
        <v>179.81132080265999</v>
      </c>
      <c r="M36" s="3">
        <v>163.5714122129944</v>
      </c>
      <c r="N36" s="3">
        <v>154.20609224211259</v>
      </c>
      <c r="O36" s="3">
        <v>162.63197189037501</v>
      </c>
      <c r="P36" s="3">
        <v>169.2967782207354</v>
      </c>
      <c r="Q36" s="3">
        <v>175.31422931082139</v>
      </c>
      <c r="R36" s="3">
        <v>172.30550376577841</v>
      </c>
    </row>
    <row r="37" spans="1:18" x14ac:dyDescent="0.2">
      <c r="A37" s="7">
        <v>44896</v>
      </c>
      <c r="B37" s="3">
        <v>2022</v>
      </c>
      <c r="C37" s="3">
        <v>12</v>
      </c>
      <c r="D37" s="3">
        <v>92.001010165299135</v>
      </c>
      <c r="E37" s="3">
        <v>119.217129576717</v>
      </c>
      <c r="F37" s="3">
        <v>102.35619888185821</v>
      </c>
      <c r="G37" s="3">
        <v>129.31124178982469</v>
      </c>
      <c r="H37" s="3">
        <v>161.2421792132121</v>
      </c>
      <c r="I37" s="3">
        <v>139.64468629026379</v>
      </c>
      <c r="J37" s="3">
        <v>153.11302993656491</v>
      </c>
      <c r="K37" s="3">
        <v>153.27962841112739</v>
      </c>
      <c r="L37" s="3">
        <v>177.7183534564488</v>
      </c>
      <c r="M37" s="3">
        <v>170.0735972769051</v>
      </c>
      <c r="N37" s="3">
        <v>154.5393416368286</v>
      </c>
      <c r="O37" s="3">
        <v>163.11139142936759</v>
      </c>
      <c r="P37" s="3">
        <v>170.3946095765281</v>
      </c>
      <c r="Q37" s="3">
        <v>168.84630610085239</v>
      </c>
      <c r="R37" s="3">
        <v>169.6204578386903</v>
      </c>
    </row>
    <row r="38" spans="1:18" x14ac:dyDescent="0.2">
      <c r="A38" s="7">
        <v>44927</v>
      </c>
      <c r="B38" s="3">
        <v>2023</v>
      </c>
      <c r="C38" s="3">
        <v>1</v>
      </c>
      <c r="D38" s="3">
        <v>81.284701245154849</v>
      </c>
      <c r="E38" s="3">
        <v>177.32209855924751</v>
      </c>
      <c r="F38" s="3">
        <v>105.0153249769894</v>
      </c>
      <c r="G38" s="3">
        <v>113.6392511186309</v>
      </c>
      <c r="H38" s="3">
        <v>166.20569331672669</v>
      </c>
      <c r="I38" s="3">
        <v>154.6355854009619</v>
      </c>
      <c r="J38" s="3">
        <v>146.85836116215211</v>
      </c>
      <c r="K38" s="3">
        <v>180.91625225712701</v>
      </c>
      <c r="L38" s="3">
        <v>177.49174521603791</v>
      </c>
      <c r="M38" s="3">
        <v>166.96032352883731</v>
      </c>
      <c r="N38" s="3">
        <v>149.25520582535569</v>
      </c>
      <c r="O38" s="3">
        <v>164.28270336099641</v>
      </c>
      <c r="P38" s="3">
        <v>164.43779443720999</v>
      </c>
      <c r="Q38" s="3">
        <v>184.83818445697301</v>
      </c>
      <c r="R38" s="3">
        <v>174.63798944709151</v>
      </c>
    </row>
    <row r="39" spans="1:18" x14ac:dyDescent="0.2">
      <c r="A39" s="7">
        <v>44958</v>
      </c>
      <c r="B39" s="3">
        <v>2023</v>
      </c>
      <c r="C39" s="3">
        <v>2</v>
      </c>
      <c r="D39" s="3">
        <v>69.455361653872231</v>
      </c>
      <c r="E39" s="3">
        <v>127.264941676806</v>
      </c>
      <c r="F39" s="3">
        <v>94.213952686618114</v>
      </c>
      <c r="G39" s="3">
        <v>112.3217265625306</v>
      </c>
      <c r="H39" s="3">
        <v>144.24519852804031</v>
      </c>
      <c r="I39" s="3">
        <v>151.56099727489331</v>
      </c>
      <c r="J39" s="3">
        <v>146.68078588742529</v>
      </c>
      <c r="K39" s="3">
        <v>173.75532978241321</v>
      </c>
      <c r="L39" s="3">
        <v>172.32333793544871</v>
      </c>
      <c r="M39" s="3">
        <v>155.4497201614619</v>
      </c>
      <c r="N39" s="3">
        <v>148.10555424339421</v>
      </c>
      <c r="O39" s="3">
        <v>164.5627727433976</v>
      </c>
      <c r="P39" s="3">
        <v>165.47494115966651</v>
      </c>
      <c r="Q39" s="3">
        <v>175.38423850743999</v>
      </c>
      <c r="R39" s="3">
        <v>170.42958983355331</v>
      </c>
    </row>
    <row r="40" spans="1:18" x14ac:dyDescent="0.2">
      <c r="A40" s="7">
        <v>44986</v>
      </c>
      <c r="B40" s="3">
        <v>2023</v>
      </c>
      <c r="C40" s="3">
        <v>3</v>
      </c>
      <c r="D40" s="3">
        <v>123.6416123297135</v>
      </c>
      <c r="E40" s="3">
        <v>114.0753129794381</v>
      </c>
      <c r="F40" s="3">
        <v>103.8640605879165</v>
      </c>
      <c r="G40" s="3">
        <v>139.01768230630509</v>
      </c>
      <c r="H40" s="3">
        <v>165.04044016912931</v>
      </c>
      <c r="I40" s="3">
        <v>162.7874247119442</v>
      </c>
      <c r="J40" s="3">
        <v>169.34642510511841</v>
      </c>
      <c r="K40" s="3">
        <v>138.6340945894834</v>
      </c>
      <c r="L40" s="3">
        <v>182.98736685320449</v>
      </c>
      <c r="M40" s="3">
        <v>176.32383424213899</v>
      </c>
      <c r="N40" s="3">
        <v>153.02110573222191</v>
      </c>
      <c r="O40" s="3">
        <v>164.28152688435969</v>
      </c>
      <c r="P40" s="3">
        <v>169.7699774106197</v>
      </c>
      <c r="Q40" s="3">
        <v>190.61557109667251</v>
      </c>
      <c r="R40" s="3">
        <v>180.19277425364609</v>
      </c>
    </row>
    <row r="41" spans="1:18" x14ac:dyDescent="0.2">
      <c r="A41" s="7">
        <v>45017</v>
      </c>
      <c r="B41" s="3">
        <v>2023</v>
      </c>
      <c r="C41" s="3">
        <v>4</v>
      </c>
      <c r="D41" s="3">
        <v>121.8335722175961</v>
      </c>
      <c r="E41" s="3">
        <v>65.258623169876302</v>
      </c>
      <c r="F41" s="3">
        <v>102.0549586534588</v>
      </c>
      <c r="G41" s="3">
        <v>130.7301885413051</v>
      </c>
      <c r="H41" s="3">
        <v>132.9552563633263</v>
      </c>
      <c r="I41" s="3">
        <v>151.91924547737949</v>
      </c>
      <c r="J41" s="3">
        <v>163.63739891349471</v>
      </c>
      <c r="K41" s="3">
        <v>110.4643877811737</v>
      </c>
      <c r="L41" s="3">
        <v>182.95902271747559</v>
      </c>
      <c r="M41" s="3">
        <v>167.97025863311171</v>
      </c>
      <c r="N41" s="3">
        <v>153.99565384921621</v>
      </c>
      <c r="O41" s="3">
        <v>163.77062106648461</v>
      </c>
      <c r="P41" s="3">
        <v>169.32148355009431</v>
      </c>
      <c r="Q41" s="3">
        <v>193.87091124354879</v>
      </c>
      <c r="R41" s="3">
        <v>181.59619739682159</v>
      </c>
    </row>
    <row r="42" spans="1:18" x14ac:dyDescent="0.2">
      <c r="A42" s="7">
        <v>45047</v>
      </c>
      <c r="B42" s="3">
        <v>2023</v>
      </c>
      <c r="C42" s="3">
        <v>5</v>
      </c>
      <c r="D42" s="3">
        <v>138.63977141302169</v>
      </c>
      <c r="E42" s="3">
        <v>137.51615755779591</v>
      </c>
      <c r="F42" s="3">
        <v>110.9949344207601</v>
      </c>
      <c r="G42" s="3">
        <v>134.75176206432971</v>
      </c>
      <c r="H42" s="3">
        <v>144.09024141905479</v>
      </c>
      <c r="I42" s="3">
        <v>146.95190542955629</v>
      </c>
      <c r="J42" s="3">
        <v>169.7187944781077</v>
      </c>
      <c r="K42" s="3">
        <v>139.3924487309059</v>
      </c>
      <c r="L42" s="3">
        <v>188.98555778952681</v>
      </c>
      <c r="M42" s="3">
        <v>153.56160716698179</v>
      </c>
      <c r="N42" s="3">
        <v>155.38821220961549</v>
      </c>
      <c r="O42" s="3">
        <v>164.40029620994559</v>
      </c>
      <c r="P42" s="3">
        <v>170.39557126769861</v>
      </c>
      <c r="Q42" s="3">
        <v>197.5314988995209</v>
      </c>
      <c r="R42" s="3">
        <v>183.96353508360971</v>
      </c>
    </row>
    <row r="43" spans="1:18" x14ac:dyDescent="0.2">
      <c r="A43" s="7">
        <v>45078</v>
      </c>
      <c r="B43" s="3">
        <v>2023</v>
      </c>
      <c r="C43" s="3">
        <v>6</v>
      </c>
      <c r="D43" s="3">
        <v>106.87869549943601</v>
      </c>
      <c r="E43" s="3">
        <v>213.20830011909339</v>
      </c>
      <c r="F43" s="3">
        <v>105.4589802843067</v>
      </c>
      <c r="G43" s="3">
        <v>134.02266276315601</v>
      </c>
      <c r="H43" s="3">
        <v>154.23696319172601</v>
      </c>
      <c r="I43" s="3">
        <v>150.80453583774911</v>
      </c>
      <c r="J43" s="3">
        <v>173.47360766008191</v>
      </c>
      <c r="K43" s="3">
        <v>166.57398509527579</v>
      </c>
      <c r="L43" s="3">
        <v>184.72334729138831</v>
      </c>
      <c r="M43" s="3">
        <v>160.0728883288225</v>
      </c>
      <c r="N43" s="3">
        <v>155.70189877363191</v>
      </c>
      <c r="O43" s="3">
        <v>165.90967373236921</v>
      </c>
      <c r="P43" s="3">
        <v>171.67059544840251</v>
      </c>
      <c r="Q43" s="3">
        <v>204.1898312172529</v>
      </c>
      <c r="R43" s="3">
        <v>187.93021333282769</v>
      </c>
    </row>
    <row r="44" spans="1:18" x14ac:dyDescent="0.2">
      <c r="A44" s="7">
        <v>45108</v>
      </c>
      <c r="B44" s="3">
        <v>2023</v>
      </c>
      <c r="C44" s="3">
        <v>7</v>
      </c>
      <c r="D44" s="3">
        <v>93.720024720449246</v>
      </c>
      <c r="E44" s="3">
        <v>329.86761790117953</v>
      </c>
      <c r="F44" s="3">
        <v>107.0597952755905</v>
      </c>
      <c r="G44" s="3">
        <v>133.66517737268049</v>
      </c>
      <c r="H44" s="3">
        <v>158.68528969537809</v>
      </c>
      <c r="I44" s="3">
        <v>150.32948297163469</v>
      </c>
      <c r="J44" s="3">
        <v>160.75223074983049</v>
      </c>
      <c r="K44" s="3">
        <v>144.1271470862053</v>
      </c>
      <c r="L44" s="3">
        <v>184.46890839424259</v>
      </c>
      <c r="M44" s="3">
        <v>164.5171880509053</v>
      </c>
      <c r="N44" s="3">
        <v>152.6799087137039</v>
      </c>
      <c r="O44" s="3">
        <v>165.7931053885649</v>
      </c>
      <c r="P44" s="3">
        <v>171.7204242387939</v>
      </c>
      <c r="Q44" s="3">
        <v>187.04009260283419</v>
      </c>
      <c r="R44" s="3">
        <v>179.3802584208141</v>
      </c>
    </row>
    <row r="45" spans="1:18" x14ac:dyDescent="0.2">
      <c r="A45" s="7">
        <v>45139</v>
      </c>
      <c r="B45" s="3">
        <v>2023</v>
      </c>
      <c r="C45" s="3">
        <v>8</v>
      </c>
      <c r="D45" s="3">
        <v>74.751751745868788</v>
      </c>
      <c r="E45" s="3">
        <v>236.4738876323481</v>
      </c>
      <c r="F45" s="3">
        <v>109.1725235878627</v>
      </c>
      <c r="G45" s="3">
        <v>137.53844755247999</v>
      </c>
      <c r="H45" s="3">
        <v>152.342000871274</v>
      </c>
      <c r="I45" s="3">
        <v>165.19667831194059</v>
      </c>
      <c r="J45" s="3">
        <v>167.96343834867091</v>
      </c>
      <c r="K45" s="3">
        <v>153.9153844439584</v>
      </c>
      <c r="L45" s="3">
        <v>183.18607126315891</v>
      </c>
      <c r="M45" s="3">
        <v>167.6160807355339</v>
      </c>
      <c r="N45" s="3">
        <v>156.73213223074529</v>
      </c>
      <c r="O45" s="3">
        <v>165.36572655842491</v>
      </c>
      <c r="P45" s="3">
        <v>172.32104179816031</v>
      </c>
      <c r="Q45" s="3">
        <v>186.81834718697931</v>
      </c>
      <c r="R45" s="3">
        <v>179.56969449256971</v>
      </c>
    </row>
    <row r="46" spans="1:18" x14ac:dyDescent="0.2">
      <c r="A46" s="7">
        <v>45170</v>
      </c>
      <c r="B46" s="3">
        <v>2023</v>
      </c>
      <c r="C46" s="3">
        <v>9</v>
      </c>
      <c r="D46" s="3">
        <v>71.787159863802316</v>
      </c>
      <c r="E46" s="3">
        <v>230.08856915909229</v>
      </c>
      <c r="F46" s="3">
        <v>106.8221239331199</v>
      </c>
      <c r="G46" s="3">
        <v>133.08156418621391</v>
      </c>
      <c r="H46" s="3">
        <v>144.13517547668391</v>
      </c>
      <c r="I46" s="3">
        <v>159.92248204495939</v>
      </c>
      <c r="J46" s="3">
        <v>163.0806369493574</v>
      </c>
      <c r="K46" s="3">
        <v>145.20618015245</v>
      </c>
      <c r="L46" s="3">
        <v>181.3758173765078</v>
      </c>
      <c r="M46" s="3">
        <v>160.97821173621841</v>
      </c>
      <c r="N46" s="3">
        <v>154.37410162067681</v>
      </c>
      <c r="O46" s="3">
        <v>166.4523780166987</v>
      </c>
      <c r="P46" s="3">
        <v>172.9951204411708</v>
      </c>
      <c r="Q46" s="3">
        <v>183.75810369020971</v>
      </c>
      <c r="R46" s="3">
        <v>178.37661206569021</v>
      </c>
    </row>
    <row r="47" spans="1:18" x14ac:dyDescent="0.2">
      <c r="A47" s="7">
        <v>45200</v>
      </c>
      <c r="B47" s="3">
        <v>2023</v>
      </c>
      <c r="C47" s="3">
        <v>10</v>
      </c>
      <c r="D47" s="3">
        <v>65.195886349152914</v>
      </c>
      <c r="E47" s="3">
        <v>101.1741789505614</v>
      </c>
      <c r="F47" s="3">
        <v>109.13746864365071</v>
      </c>
      <c r="G47" s="3">
        <v>136.57716536475019</v>
      </c>
      <c r="H47" s="3">
        <v>137.27609546218781</v>
      </c>
      <c r="I47" s="3">
        <v>150.30562391061159</v>
      </c>
      <c r="J47" s="3">
        <v>160.01865907080759</v>
      </c>
      <c r="K47" s="3">
        <v>159.57660816793299</v>
      </c>
      <c r="L47" s="3">
        <v>179.76802437665779</v>
      </c>
      <c r="M47" s="3">
        <v>169.6213802397186</v>
      </c>
      <c r="N47" s="3">
        <v>156.333833973541</v>
      </c>
      <c r="O47" s="3">
        <v>166.3792682291421</v>
      </c>
      <c r="P47" s="3">
        <v>172.3909993605796</v>
      </c>
      <c r="Q47" s="3">
        <v>179.43634130837219</v>
      </c>
      <c r="R47" s="3">
        <v>175.91367033447591</v>
      </c>
    </row>
    <row r="48" spans="1:18" x14ac:dyDescent="0.2">
      <c r="A48" s="7">
        <v>45231</v>
      </c>
      <c r="B48" s="3">
        <v>2023</v>
      </c>
      <c r="C48" s="3">
        <v>11</v>
      </c>
      <c r="D48" s="3">
        <v>78.805443255024969</v>
      </c>
      <c r="E48" s="3">
        <v>54.313071452226737</v>
      </c>
      <c r="F48" s="3">
        <v>105.4608780192345</v>
      </c>
      <c r="G48" s="3">
        <v>132.80198886203809</v>
      </c>
      <c r="H48" s="3">
        <v>142.68761844950859</v>
      </c>
      <c r="I48" s="3">
        <v>149.6493179284235</v>
      </c>
      <c r="J48" s="3">
        <v>158.69168410790331</v>
      </c>
      <c r="K48" s="3">
        <v>160.2739214651692</v>
      </c>
      <c r="L48" s="3">
        <v>179.8772486515486</v>
      </c>
      <c r="M48" s="3">
        <v>158.97826355275839</v>
      </c>
      <c r="N48" s="3">
        <v>155.9920896734329</v>
      </c>
      <c r="O48" s="3">
        <v>166.76405172069579</v>
      </c>
      <c r="P48" s="3">
        <v>172.74465065781411</v>
      </c>
      <c r="Q48" s="3">
        <v>178.92597238250389</v>
      </c>
      <c r="R48" s="3">
        <v>175.835311520159</v>
      </c>
    </row>
    <row r="49" spans="1:18" x14ac:dyDescent="0.2">
      <c r="A49" s="7">
        <v>45261</v>
      </c>
      <c r="B49" s="3">
        <v>2023</v>
      </c>
      <c r="C49" s="3">
        <v>12</v>
      </c>
      <c r="D49" s="3">
        <v>100.7761616928892</v>
      </c>
      <c r="E49" s="3">
        <v>130.00683337616309</v>
      </c>
      <c r="F49" s="3">
        <v>110.4476414425516</v>
      </c>
      <c r="G49" s="3">
        <v>113.5331956805697</v>
      </c>
      <c r="H49" s="3">
        <v>141.51753791979499</v>
      </c>
      <c r="I49" s="3">
        <v>131.3580782168832</v>
      </c>
      <c r="J49" s="3">
        <v>137.9180399046455</v>
      </c>
      <c r="K49" s="3">
        <v>166.37133036080741</v>
      </c>
      <c r="L49" s="3">
        <v>176.9038189412114</v>
      </c>
      <c r="M49" s="3">
        <v>150.98691770049439</v>
      </c>
      <c r="N49" s="3">
        <v>154.44267268338899</v>
      </c>
      <c r="O49" s="3">
        <v>167.45957460344471</v>
      </c>
      <c r="P49" s="3">
        <v>173.90125674440529</v>
      </c>
      <c r="Q49" s="3">
        <v>172.1447454062338</v>
      </c>
      <c r="R49" s="3">
        <v>173.02300107531951</v>
      </c>
    </row>
    <row r="50" spans="1:18" x14ac:dyDescent="0.2">
      <c r="A50" s="7">
        <v>45292</v>
      </c>
      <c r="B50" s="3">
        <v>2024</v>
      </c>
      <c r="C50" s="3">
        <v>1</v>
      </c>
      <c r="D50" s="3">
        <v>90.597826595005571</v>
      </c>
      <c r="E50" s="3">
        <v>154.63559594952389</v>
      </c>
      <c r="F50" s="3">
        <v>112.66062246849221</v>
      </c>
      <c r="G50" s="3">
        <v>100.6946717383358</v>
      </c>
      <c r="H50" s="3">
        <v>156.63430088491839</v>
      </c>
      <c r="I50" s="3">
        <v>130.81294476056311</v>
      </c>
      <c r="J50" s="3">
        <v>136.09185290878199</v>
      </c>
      <c r="K50" s="3">
        <v>178.0611618238012</v>
      </c>
      <c r="L50" s="3">
        <v>177.50173300038909</v>
      </c>
      <c r="M50" s="3">
        <v>147.60156209573159</v>
      </c>
      <c r="N50" s="3">
        <v>147.9089459776969</v>
      </c>
      <c r="O50" s="3">
        <v>165.94515493483789</v>
      </c>
      <c r="P50" s="3">
        <v>167.71091849003369</v>
      </c>
      <c r="Q50" s="3">
        <v>188.09156469953169</v>
      </c>
      <c r="R50" s="3">
        <v>177.9012415947827</v>
      </c>
    </row>
    <row r="51" spans="1:18" x14ac:dyDescent="0.2">
      <c r="A51" s="7">
        <v>45323</v>
      </c>
      <c r="B51" s="3">
        <v>2024</v>
      </c>
      <c r="C51" s="3">
        <v>2</v>
      </c>
      <c r="D51" s="3">
        <v>71.981309473981881</v>
      </c>
      <c r="E51" s="3">
        <v>167.83017935028059</v>
      </c>
      <c r="F51" s="3">
        <v>104.88360169271471</v>
      </c>
      <c r="G51" s="3">
        <v>102.71714461491911</v>
      </c>
      <c r="H51" s="3">
        <v>156.09033176739391</v>
      </c>
      <c r="I51" s="3">
        <v>125.4081661352231</v>
      </c>
      <c r="J51" s="3">
        <v>139.79133721876931</v>
      </c>
      <c r="K51" s="3">
        <v>170.76580318836619</v>
      </c>
      <c r="L51" s="3">
        <v>171.95675237707101</v>
      </c>
      <c r="M51" s="3">
        <v>136.79045596816701</v>
      </c>
      <c r="N51" s="3">
        <v>147.4992104583568</v>
      </c>
      <c r="O51" s="3">
        <v>165.99096394013461</v>
      </c>
      <c r="P51" s="3">
        <v>169.04825826528429</v>
      </c>
      <c r="Q51" s="3">
        <v>177.96134399292461</v>
      </c>
      <c r="R51" s="3">
        <v>173.50480112910449</v>
      </c>
    </row>
    <row r="52" spans="1:18" x14ac:dyDescent="0.2">
      <c r="A52" s="7">
        <v>45352</v>
      </c>
      <c r="B52" s="3">
        <v>2024</v>
      </c>
      <c r="C52" s="3">
        <v>3</v>
      </c>
      <c r="D52" s="3">
        <v>138.68266678141379</v>
      </c>
      <c r="E52" s="3">
        <v>116.9259155910997</v>
      </c>
      <c r="F52" s="3">
        <v>110.6020493988996</v>
      </c>
      <c r="G52" s="3">
        <v>111.1173902516788</v>
      </c>
      <c r="H52" s="3">
        <v>152.07050188682999</v>
      </c>
      <c r="I52" s="3">
        <v>119.7436251830155</v>
      </c>
      <c r="J52" s="3">
        <v>143.67201906302961</v>
      </c>
      <c r="K52" s="3">
        <v>136.83626090176719</v>
      </c>
      <c r="L52" s="3">
        <v>181.43395808276941</v>
      </c>
      <c r="M52" s="3">
        <v>148.85471737445519</v>
      </c>
      <c r="N52" s="3">
        <v>148.02641842944519</v>
      </c>
      <c r="O52" s="3">
        <v>164.1515220400544</v>
      </c>
      <c r="P52" s="3">
        <v>171.81967153784981</v>
      </c>
      <c r="Q52" s="3">
        <v>192.04967932729201</v>
      </c>
      <c r="R52" s="3">
        <v>181.93467543257091</v>
      </c>
    </row>
    <row r="53" spans="1:18" x14ac:dyDescent="0.2">
      <c r="A53" s="7">
        <v>45383</v>
      </c>
      <c r="B53" s="3">
        <v>2024</v>
      </c>
      <c r="C53" s="3">
        <v>4</v>
      </c>
      <c r="D53" s="3">
        <v>200.20046170554289</v>
      </c>
      <c r="E53" s="3">
        <v>173.94246675895491</v>
      </c>
      <c r="F53" s="3">
        <v>110.9583529040121</v>
      </c>
      <c r="G53" s="3">
        <v>109.9716075814319</v>
      </c>
      <c r="H53" s="3">
        <v>135.09885851596329</v>
      </c>
      <c r="I53" s="3">
        <v>114.85777388358581</v>
      </c>
      <c r="J53" s="3">
        <v>139.41253642208449</v>
      </c>
      <c r="K53" s="3">
        <v>106.3032089049906</v>
      </c>
      <c r="L53" s="3">
        <v>184.95234209277271</v>
      </c>
      <c r="M53" s="3">
        <v>150.9525615289742</v>
      </c>
      <c r="N53" s="3">
        <v>151.70295177448679</v>
      </c>
      <c r="O53" s="3">
        <v>163.0533365259829</v>
      </c>
      <c r="P53" s="3">
        <v>170.97278106043319</v>
      </c>
      <c r="Q53" s="3">
        <v>195.22510494050411</v>
      </c>
      <c r="R53" s="3">
        <v>183.09894300046861</v>
      </c>
    </row>
    <row r="54" spans="1:18" x14ac:dyDescent="0.2">
      <c r="A54" s="7">
        <v>45413</v>
      </c>
      <c r="B54" s="3">
        <v>2024</v>
      </c>
      <c r="C54" s="3">
        <v>5</v>
      </c>
      <c r="D54" s="3">
        <v>271.74886946459941</v>
      </c>
      <c r="E54" s="3">
        <v>122.9143026672803</v>
      </c>
      <c r="F54" s="3">
        <v>119.3505427708026</v>
      </c>
      <c r="G54" s="3">
        <v>114.9539288853635</v>
      </c>
      <c r="H54" s="3">
        <v>160.7340266061949</v>
      </c>
      <c r="I54" s="3">
        <v>115.1395823204779</v>
      </c>
      <c r="J54" s="3">
        <v>147.65476054443531</v>
      </c>
      <c r="K54" s="3">
        <v>135.42035260222539</v>
      </c>
      <c r="L54" s="3">
        <v>194.20594685208059</v>
      </c>
      <c r="M54" s="3">
        <v>138.82257250537469</v>
      </c>
      <c r="N54" s="3">
        <v>154.20694065149621</v>
      </c>
      <c r="O54" s="3">
        <v>163.26616342449941</v>
      </c>
      <c r="P54" s="3">
        <v>171.63349870622039</v>
      </c>
      <c r="Q54" s="3">
        <v>197.3684412692422</v>
      </c>
      <c r="R54" s="3">
        <v>184.50096998773131</v>
      </c>
    </row>
    <row r="55" spans="1:18" x14ac:dyDescent="0.2">
      <c r="A55" s="7">
        <v>45444</v>
      </c>
      <c r="B55" s="3">
        <v>2024</v>
      </c>
      <c r="C55" s="3">
        <v>6</v>
      </c>
      <c r="D55" s="3">
        <v>188.51399984865361</v>
      </c>
      <c r="E55" s="3">
        <v>281.57883098633772</v>
      </c>
      <c r="F55" s="3">
        <v>109.3549630056274</v>
      </c>
      <c r="G55" s="3">
        <v>107.6436612124636</v>
      </c>
      <c r="H55" s="3">
        <v>148.31491625604011</v>
      </c>
      <c r="I55" s="3">
        <v>115.8778446900605</v>
      </c>
      <c r="J55" s="3">
        <v>141.0707697450683</v>
      </c>
      <c r="K55" s="3">
        <v>163.16484075649959</v>
      </c>
      <c r="L55" s="3">
        <v>186.1879757987067</v>
      </c>
      <c r="M55" s="3">
        <v>142.599431388125</v>
      </c>
      <c r="N55" s="3">
        <v>153.31652378841261</v>
      </c>
      <c r="O55" s="3">
        <v>164.04902719262441</v>
      </c>
      <c r="P55" s="3">
        <v>172.62053829310199</v>
      </c>
      <c r="Q55" s="3">
        <v>203.3662336821894</v>
      </c>
      <c r="R55" s="3">
        <v>187.99338598764569</v>
      </c>
    </row>
    <row r="56" spans="1:18" x14ac:dyDescent="0.2">
      <c r="A56" s="7">
        <v>45474</v>
      </c>
      <c r="B56" s="3">
        <v>2024</v>
      </c>
      <c r="C56" s="3">
        <v>7</v>
      </c>
      <c r="D56" s="3">
        <v>117.5315086255187</v>
      </c>
      <c r="E56" s="3">
        <v>299.66837009494571</v>
      </c>
      <c r="F56" s="3">
        <v>113.29518123915</v>
      </c>
      <c r="G56" s="3">
        <v>126.3114510103228</v>
      </c>
      <c r="H56" s="3">
        <v>165.32939077851429</v>
      </c>
      <c r="I56" s="3">
        <v>130.79219513384689</v>
      </c>
      <c r="J56" s="3">
        <v>153.0116909012493</v>
      </c>
      <c r="K56" s="3">
        <v>155.34825239194839</v>
      </c>
      <c r="L56" s="3">
        <v>186.73011465917821</v>
      </c>
      <c r="M56" s="3">
        <v>159.73065661048511</v>
      </c>
      <c r="N56" s="3">
        <v>152.77136191150291</v>
      </c>
      <c r="O56" s="3">
        <v>163.93991390457799</v>
      </c>
      <c r="P56" s="3">
        <v>172.95818162841741</v>
      </c>
      <c r="Q56" s="3">
        <v>186.11483142514291</v>
      </c>
      <c r="R56" s="3">
        <v>179.53650652678019</v>
      </c>
    </row>
    <row r="57" spans="1:18" x14ac:dyDescent="0.2">
      <c r="A57" s="7">
        <v>45505</v>
      </c>
      <c r="B57" s="3">
        <v>2024</v>
      </c>
      <c r="C57" s="3">
        <v>8</v>
      </c>
      <c r="D57" s="3">
        <v>79.400278243533805</v>
      </c>
      <c r="E57" s="3">
        <v>277.7776095681956</v>
      </c>
      <c r="F57" s="3">
        <v>116.3074710305971</v>
      </c>
      <c r="G57" s="3">
        <v>128.81619338773351</v>
      </c>
      <c r="H57" s="3">
        <v>155.14540043603691</v>
      </c>
      <c r="I57" s="3">
        <v>137.9586660393779</v>
      </c>
      <c r="J57" s="3">
        <v>157.01251331769399</v>
      </c>
      <c r="K57" s="3">
        <v>168.07329134823851</v>
      </c>
      <c r="L57" s="3">
        <v>179.83780529538751</v>
      </c>
      <c r="M57" s="3">
        <v>161.2004119373089</v>
      </c>
      <c r="N57" s="3">
        <v>155.33338028010451</v>
      </c>
      <c r="O57" s="3">
        <v>163.15274535384481</v>
      </c>
      <c r="P57" s="3">
        <v>173.20519636427511</v>
      </c>
      <c r="Q57" s="3">
        <v>185.02176735851199</v>
      </c>
      <c r="R57" s="3">
        <v>179.11348186139361</v>
      </c>
    </row>
    <row r="58" spans="1:18" x14ac:dyDescent="0.2">
      <c r="A58" s="7">
        <v>45536</v>
      </c>
      <c r="B58" s="3">
        <v>2024</v>
      </c>
      <c r="C58" s="3">
        <v>9</v>
      </c>
      <c r="D58" s="3">
        <v>75.09968280501991</v>
      </c>
      <c r="E58" s="3">
        <v>174.52771640617129</v>
      </c>
      <c r="F58" s="3">
        <v>115.8293346192664</v>
      </c>
      <c r="G58" s="3">
        <v>124.9161293838325</v>
      </c>
      <c r="H58" s="3">
        <v>137.10978032709579</v>
      </c>
      <c r="I58" s="3">
        <v>135.64065492709071</v>
      </c>
      <c r="J58" s="3">
        <v>153.5549290395106</v>
      </c>
      <c r="K58" s="3">
        <v>155.0923648622223</v>
      </c>
      <c r="L58" s="3">
        <v>180.9494476232565</v>
      </c>
      <c r="M58" s="3">
        <v>159.95446266524181</v>
      </c>
      <c r="N58" s="3">
        <v>153.5926993110327</v>
      </c>
      <c r="O58" s="3">
        <v>163.65294448922049</v>
      </c>
      <c r="P58" s="3">
        <v>173.5454974283183</v>
      </c>
      <c r="Q58" s="3">
        <v>181.8022033081032</v>
      </c>
      <c r="R58" s="3">
        <v>177.67385036821079</v>
      </c>
    </row>
    <row r="59" spans="1:18" x14ac:dyDescent="0.2">
      <c r="A59" s="7">
        <v>45566</v>
      </c>
      <c r="B59" s="3">
        <v>2024</v>
      </c>
      <c r="C59" s="3">
        <v>10</v>
      </c>
      <c r="D59" s="3">
        <v>66.910202745371834</v>
      </c>
      <c r="E59" s="3">
        <v>57.676869833749137</v>
      </c>
      <c r="F59" s="3">
        <v>118.49503220068389</v>
      </c>
      <c r="G59" s="3">
        <v>134.40679528109541</v>
      </c>
      <c r="H59" s="3">
        <v>135.64526066733961</v>
      </c>
      <c r="I59" s="3">
        <v>128.4707185008171</v>
      </c>
      <c r="J59" s="3">
        <v>159.65193404776289</v>
      </c>
      <c r="K59" s="3">
        <v>184.4314760700681</v>
      </c>
      <c r="L59" s="3">
        <v>183.03369834688439</v>
      </c>
      <c r="M59" s="3">
        <v>169.69749247699511</v>
      </c>
      <c r="N59" s="3">
        <v>157.21838153683819</v>
      </c>
      <c r="O59" s="3">
        <v>163.18524909844729</v>
      </c>
      <c r="P59" s="3">
        <v>173.78145286569969</v>
      </c>
      <c r="Q59" s="3">
        <v>177.1750296835404</v>
      </c>
      <c r="R59" s="3">
        <v>175.4782412746201</v>
      </c>
    </row>
    <row r="60" spans="1:18" x14ac:dyDescent="0.2">
      <c r="A60" s="7">
        <v>45597</v>
      </c>
      <c r="B60" s="3">
        <v>2024</v>
      </c>
      <c r="C60" s="3">
        <v>11</v>
      </c>
      <c r="D60" s="3">
        <v>80.096343927311125</v>
      </c>
      <c r="E60" s="3">
        <v>132.36718067534821</v>
      </c>
      <c r="F60" s="3">
        <v>113.7805722811225</v>
      </c>
      <c r="G60" s="3">
        <v>130.88875354175511</v>
      </c>
      <c r="H60" s="3">
        <v>136.00858582104189</v>
      </c>
      <c r="I60" s="3">
        <v>128.33180002006611</v>
      </c>
      <c r="J60" s="3">
        <v>159.38028446025129</v>
      </c>
      <c r="K60" s="3">
        <v>187.4978338489652</v>
      </c>
      <c r="L60" s="3">
        <v>182.4348118112087</v>
      </c>
      <c r="M60" s="3">
        <v>170.3990915362709</v>
      </c>
      <c r="N60" s="3">
        <v>157.96710531506591</v>
      </c>
      <c r="O60" s="3">
        <v>163.47324560376421</v>
      </c>
      <c r="P60" s="3">
        <v>174.0109305202264</v>
      </c>
      <c r="Q60" s="3">
        <v>176.36266016247771</v>
      </c>
      <c r="R60" s="3">
        <v>175.186795341352</v>
      </c>
    </row>
    <row r="61" spans="1:18" x14ac:dyDescent="0.2">
      <c r="A61" s="7">
        <v>45627</v>
      </c>
      <c r="B61" s="3">
        <v>2024</v>
      </c>
      <c r="C61" s="3">
        <v>12</v>
      </c>
      <c r="D61" s="3">
        <v>109.55097052443379</v>
      </c>
      <c r="E61" s="3">
        <v>100.6811533834737</v>
      </c>
      <c r="F61" s="3">
        <v>118.6564643959186</v>
      </c>
      <c r="G61" s="3">
        <v>122.4755561610767</v>
      </c>
      <c r="H61" s="3">
        <v>145.68888865752359</v>
      </c>
      <c r="I61" s="3">
        <v>122.490636091459</v>
      </c>
      <c r="J61" s="3">
        <v>150.42475861158371</v>
      </c>
      <c r="K61" s="3">
        <v>195.11736910503831</v>
      </c>
      <c r="L61" s="3">
        <v>182.7457793393373</v>
      </c>
      <c r="M61" s="3">
        <v>175.42068861943389</v>
      </c>
      <c r="N61" s="3">
        <v>160.94963517557059</v>
      </c>
      <c r="O61" s="3">
        <v>163.5785055902185</v>
      </c>
      <c r="P61" s="3">
        <v>174.95258503046591</v>
      </c>
      <c r="Q61" s="3">
        <v>169.57892296236821</v>
      </c>
      <c r="R61" s="3">
        <v>172.26575399641709</v>
      </c>
    </row>
    <row r="62" spans="1:18" x14ac:dyDescent="0.2">
      <c r="A62" s="7">
        <v>45658</v>
      </c>
      <c r="B62" s="3">
        <v>2025</v>
      </c>
      <c r="C62" s="3">
        <v>1</v>
      </c>
      <c r="D62" s="3">
        <v>91.770226118810683</v>
      </c>
      <c r="E62" s="3">
        <v>149.60462589075669</v>
      </c>
      <c r="F62" s="3">
        <v>122.42598157140149</v>
      </c>
      <c r="G62" s="3">
        <v>106.92192275337131</v>
      </c>
      <c r="H62" s="3">
        <v>166.82586538896271</v>
      </c>
      <c r="I62" s="3">
        <v>134.11127525386581</v>
      </c>
      <c r="J62" s="3">
        <v>147.56071335301951</v>
      </c>
      <c r="K62" s="3">
        <v>194.70859331467611</v>
      </c>
      <c r="L62" s="3">
        <v>182.53578083203439</v>
      </c>
      <c r="M62" s="3">
        <v>183.47915475688839</v>
      </c>
      <c r="N62" s="3">
        <v>153.55716421896159</v>
      </c>
      <c r="O62" s="3">
        <v>163.97355273061751</v>
      </c>
      <c r="P62" s="3">
        <v>168.5147783407462</v>
      </c>
      <c r="Q62" s="3">
        <v>186.9523213412906</v>
      </c>
      <c r="R62" s="3">
        <v>177.7335498410184</v>
      </c>
    </row>
    <row r="63" spans="1:18" x14ac:dyDescent="0.2">
      <c r="A63" s="7">
        <v>45689</v>
      </c>
      <c r="B63" s="3">
        <v>2025</v>
      </c>
      <c r="C63" s="3">
        <v>2</v>
      </c>
      <c r="D63" s="3">
        <v>74.991549732406241</v>
      </c>
      <c r="E63" s="3">
        <v>215.18124416713911</v>
      </c>
      <c r="F63" s="3">
        <v>110.35752390297191</v>
      </c>
      <c r="G63" s="3">
        <v>107.915643985117</v>
      </c>
      <c r="H63" s="3">
        <v>156.67157662281261</v>
      </c>
      <c r="I63" s="3">
        <v>131.0733904936871</v>
      </c>
      <c r="J63" s="3">
        <v>148.5457256928598</v>
      </c>
      <c r="K63" s="3">
        <v>185.15329095361651</v>
      </c>
      <c r="L63" s="3">
        <v>176.99153680186339</v>
      </c>
      <c r="M63" s="3">
        <v>175.08847835273161</v>
      </c>
      <c r="N63" s="3">
        <v>153.98761937371691</v>
      </c>
      <c r="O63" s="3">
        <v>163.98997269667819</v>
      </c>
      <c r="P63" s="3">
        <v>169.1050803584539</v>
      </c>
      <c r="Q63" s="3">
        <v>176.17561515670971</v>
      </c>
      <c r="R63" s="3">
        <v>172.64034775758179</v>
      </c>
    </row>
    <row r="64" spans="1:18" x14ac:dyDescent="0.2">
      <c r="A64" s="7">
        <v>45717</v>
      </c>
      <c r="B64" s="3">
        <v>2025</v>
      </c>
      <c r="C64" s="3">
        <v>3</v>
      </c>
      <c r="D64" s="3">
        <v>147.86352953841831</v>
      </c>
      <c r="E64" s="3">
        <v>125.58120366789851</v>
      </c>
      <c r="F64" s="3">
        <v>116.99115017717629</v>
      </c>
      <c r="G64" s="3">
        <v>115.95319425376221</v>
      </c>
      <c r="H64" s="3">
        <v>146.51330340521119</v>
      </c>
      <c r="I64" s="3">
        <v>132.65122754860181</v>
      </c>
      <c r="J64" s="3">
        <v>153.39668520278011</v>
      </c>
      <c r="K64" s="3">
        <v>149.21008442693281</v>
      </c>
      <c r="L64" s="3">
        <v>184.99391141985251</v>
      </c>
      <c r="M64" s="3">
        <v>189.9634397959349</v>
      </c>
      <c r="N64" s="3">
        <v>154.7206131070507</v>
      </c>
      <c r="O64" s="3">
        <v>162.30362423431399</v>
      </c>
      <c r="P64" s="3">
        <v>172.68693295752911</v>
      </c>
      <c r="Q64" s="3">
        <v>190.7429709768397</v>
      </c>
      <c r="R64" s="3">
        <v>181.71495196718439</v>
      </c>
    </row>
    <row r="65" spans="1:18" x14ac:dyDescent="0.2">
      <c r="A65" s="7">
        <v>45748</v>
      </c>
      <c r="B65" s="3">
        <v>2025</v>
      </c>
      <c r="C65" s="3">
        <v>4</v>
      </c>
      <c r="D65" s="3">
        <v>213.5801499367376</v>
      </c>
      <c r="E65" s="3">
        <v>133.61470154861911</v>
      </c>
      <c r="F65" s="3">
        <v>116.1050095842117</v>
      </c>
      <c r="G65" s="3">
        <v>118.7174104049532</v>
      </c>
      <c r="H65" s="3">
        <v>129.89233927225061</v>
      </c>
      <c r="I65" s="3">
        <v>133.2966457432058</v>
      </c>
      <c r="J65" s="3">
        <v>158.81703116152471</v>
      </c>
      <c r="K65" s="3">
        <v>124.59942573444241</v>
      </c>
      <c r="L65" s="3">
        <v>189.47352483868681</v>
      </c>
      <c r="M65" s="3">
        <v>192.93986336570171</v>
      </c>
      <c r="N65" s="3">
        <v>160.75627074539341</v>
      </c>
      <c r="O65" s="3">
        <v>161.71800523740239</v>
      </c>
      <c r="P65" s="3">
        <v>172.5216579812749</v>
      </c>
      <c r="Q65" s="3">
        <v>194.3173064543648</v>
      </c>
      <c r="R65" s="3">
        <v>183.41948221781979</v>
      </c>
    </row>
    <row r="66" spans="1:18" x14ac:dyDescent="0.2">
      <c r="A66" s="7">
        <v>45778</v>
      </c>
      <c r="B66" s="3">
        <v>2025</v>
      </c>
      <c r="C66" s="3">
        <v>5</v>
      </c>
      <c r="D66" s="3">
        <v>284.1974406735489</v>
      </c>
      <c r="E66" s="3">
        <v>127.20879227564841</v>
      </c>
      <c r="F66" s="3">
        <v>125.0171055476662</v>
      </c>
      <c r="G66" s="3">
        <v>121.0016176965363</v>
      </c>
      <c r="H66" s="3">
        <v>147.16064950439801</v>
      </c>
      <c r="I66" s="3">
        <v>122.14347972657789</v>
      </c>
      <c r="J66" s="3">
        <v>160.41188293922519</v>
      </c>
      <c r="K66" s="3">
        <v>159.90002441518169</v>
      </c>
      <c r="L66" s="3">
        <v>196.08552425642759</v>
      </c>
      <c r="M66" s="3">
        <v>174.50535480703419</v>
      </c>
      <c r="N66" s="3">
        <v>159.19071313412351</v>
      </c>
      <c r="O66" s="3">
        <v>161.7559937594697</v>
      </c>
      <c r="P66" s="3">
        <v>173.0906145841048</v>
      </c>
      <c r="Q66" s="3">
        <v>196.63851120639981</v>
      </c>
      <c r="R66" s="3">
        <v>184.86456289525231</v>
      </c>
    </row>
    <row r="67" spans="1:18" x14ac:dyDescent="0.2">
      <c r="A67" s="7">
        <v>45809</v>
      </c>
      <c r="B67" s="3">
        <v>2025</v>
      </c>
      <c r="C67" s="3">
        <v>6</v>
      </c>
      <c r="D67" s="3">
        <v>197.4608562990546</v>
      </c>
      <c r="E67" s="3">
        <v>75.22129052923728</v>
      </c>
      <c r="F67" s="3">
        <v>121.6119479664212</v>
      </c>
      <c r="G67" s="3">
        <v>116.2478885670844</v>
      </c>
      <c r="H67" s="3">
        <v>162.1508161653089</v>
      </c>
      <c r="I67" s="3">
        <v>126.3722962158333</v>
      </c>
      <c r="J67" s="3">
        <v>155.09206819020909</v>
      </c>
      <c r="K67" s="3">
        <v>190.13762949322361</v>
      </c>
      <c r="L67" s="3">
        <v>189.12460014064601</v>
      </c>
      <c r="M67" s="3">
        <v>182.40137453612769</v>
      </c>
      <c r="N67" s="3">
        <v>160.5475878387829</v>
      </c>
      <c r="O67" s="3">
        <v>162.83958786893089</v>
      </c>
      <c r="P67" s="3">
        <v>174.16957422629301</v>
      </c>
      <c r="Q67" s="3">
        <v>203.21646895887909</v>
      </c>
      <c r="R67" s="3">
        <v>188.69302159258609</v>
      </c>
    </row>
    <row r="68" spans="1:18" x14ac:dyDescent="0.2">
      <c r="A68" s="7">
        <v>45839</v>
      </c>
      <c r="B68" s="3">
        <v>2025</v>
      </c>
      <c r="C68" s="3">
        <v>7</v>
      </c>
      <c r="D68" s="3">
        <v>119.4981166974555</v>
      </c>
      <c r="E68" s="3">
        <v>57.932277120994563</v>
      </c>
      <c r="F68" s="3">
        <v>128.5345259422408</v>
      </c>
      <c r="G68" s="3">
        <v>125.0045909121078</v>
      </c>
      <c r="H68" s="3">
        <v>161.96644812284401</v>
      </c>
      <c r="I68" s="3">
        <v>131.86970303341769</v>
      </c>
      <c r="J68" s="3">
        <v>154.78934528620559</v>
      </c>
      <c r="K68" s="3">
        <v>165.68413124672199</v>
      </c>
      <c r="L68" s="3">
        <v>188.76254806186381</v>
      </c>
      <c r="M68" s="3">
        <v>194.52629289904891</v>
      </c>
      <c r="N68" s="3">
        <v>158.55641147815601</v>
      </c>
      <c r="O68" s="3">
        <v>162.61460513256239</v>
      </c>
      <c r="P68" s="3">
        <v>174.69513048274189</v>
      </c>
      <c r="Q68" s="3">
        <v>185.682069942574</v>
      </c>
      <c r="R68" s="3">
        <v>180.18860021265789</v>
      </c>
    </row>
    <row r="69" spans="1:18" x14ac:dyDescent="0.2">
      <c r="A69" s="7">
        <v>45870</v>
      </c>
      <c r="B69" s="3">
        <v>2025</v>
      </c>
      <c r="C69" s="3">
        <v>8</v>
      </c>
      <c r="D69" s="3">
        <v>78.943920106875467</v>
      </c>
      <c r="E69" s="3">
        <v>273.4371086017315</v>
      </c>
      <c r="F69" s="3">
        <v>127.2749628677923</v>
      </c>
      <c r="G69" s="3">
        <v>122.87658496363539</v>
      </c>
      <c r="H69" s="3">
        <v>152.72627228058369</v>
      </c>
      <c r="I69" s="3">
        <v>136.96135081424589</v>
      </c>
      <c r="J69" s="3">
        <v>152.54593783326561</v>
      </c>
      <c r="K69" s="3">
        <v>181.49871178851549</v>
      </c>
      <c r="L69" s="3">
        <v>185.09893043101221</v>
      </c>
      <c r="M69" s="3">
        <v>201.87570210519931</v>
      </c>
      <c r="N69" s="3">
        <v>159.0903544188817</v>
      </c>
      <c r="O69" s="3">
        <v>161.95869248589861</v>
      </c>
      <c r="P69" s="3">
        <v>174.62747537882441</v>
      </c>
      <c r="Q69" s="3">
        <v>185.17029333292751</v>
      </c>
      <c r="R69" s="3">
        <v>179.89888435587591</v>
      </c>
    </row>
    <row r="70" spans="1:18" x14ac:dyDescent="0.2">
      <c r="A70" s="7">
        <v>45901</v>
      </c>
      <c r="B70" s="3">
        <v>2025</v>
      </c>
      <c r="C70" s="3">
        <v>9</v>
      </c>
      <c r="D70" s="3">
        <v>76.099723811828952</v>
      </c>
      <c r="E70" s="3">
        <v>268.7615655512796</v>
      </c>
      <c r="F70" s="3">
        <v>125.1439688866989</v>
      </c>
      <c r="G70" s="3">
        <v>124.01703442764909</v>
      </c>
      <c r="H70" s="3">
        <v>139.0896583443525</v>
      </c>
      <c r="I70" s="3">
        <v>138.9091461207077</v>
      </c>
      <c r="J70" s="3">
        <v>154.68021077166239</v>
      </c>
      <c r="K70" s="3">
        <v>166.20196861233481</v>
      </c>
      <c r="L70" s="3">
        <v>186.281801563203</v>
      </c>
      <c r="M70" s="3">
        <v>222.6575838374753</v>
      </c>
      <c r="N70" s="3">
        <v>161.05414787780941</v>
      </c>
      <c r="O70" s="3">
        <v>162.39067620362991</v>
      </c>
      <c r="P70" s="3">
        <v>175.47316136515809</v>
      </c>
      <c r="Q70" s="3">
        <v>182.36997127550501</v>
      </c>
      <c r="R70" s="3">
        <v>178.92156632033161</v>
      </c>
    </row>
    <row r="71" spans="1:18" x14ac:dyDescent="0.2">
      <c r="A71" s="7">
        <v>45931</v>
      </c>
      <c r="B71" s="3">
        <v>2025</v>
      </c>
      <c r="C71" s="3">
        <v>10</v>
      </c>
      <c r="D71" s="3">
        <v>67.713892805486651</v>
      </c>
      <c r="E71" s="3">
        <v>100.60330428221729</v>
      </c>
      <c r="F71" s="3">
        <v>128.02590099338909</v>
      </c>
      <c r="G71" s="3">
        <v>130.5350743389474</v>
      </c>
      <c r="H71" s="3">
        <v>138.54167620160851</v>
      </c>
      <c r="I71" s="3">
        <v>135.32711653454089</v>
      </c>
      <c r="J71" s="3">
        <v>160.31795581611721</v>
      </c>
      <c r="K71" s="3">
        <v>183.01875739318351</v>
      </c>
      <c r="L71" s="3">
        <v>187.95494312027739</v>
      </c>
      <c r="M71" s="3">
        <v>209.65134066217399</v>
      </c>
      <c r="N71" s="3">
        <v>163.3889122671745</v>
      </c>
      <c r="O71" s="3">
        <v>161.45744402388729</v>
      </c>
      <c r="P71" s="3">
        <v>175.0148791440829</v>
      </c>
      <c r="Q71" s="3">
        <v>177.6304666234978</v>
      </c>
      <c r="R71" s="3">
        <v>176.32267288379029</v>
      </c>
    </row>
    <row r="72" spans="1:18" x14ac:dyDescent="0.2">
      <c r="A72" s="7">
        <v>45962</v>
      </c>
      <c r="B72" s="3">
        <v>2025</v>
      </c>
      <c r="C72" s="3">
        <v>11</v>
      </c>
      <c r="D72" s="3">
        <v>87.580857605020952</v>
      </c>
      <c r="E72" s="3">
        <v>102.57645588734221</v>
      </c>
      <c r="F72" s="3">
        <v>121.866288922895</v>
      </c>
      <c r="G72" s="3">
        <v>120.22667494560859</v>
      </c>
      <c r="H72" s="3">
        <v>138.37601834107809</v>
      </c>
      <c r="I72" s="3">
        <v>125.09800194412119</v>
      </c>
      <c r="J72" s="3">
        <v>150.10026448767559</v>
      </c>
      <c r="K72" s="3">
        <v>188.07429325842591</v>
      </c>
      <c r="L72" s="3">
        <v>185.96635184701509</v>
      </c>
      <c r="M72" s="3">
        <v>194.7600879614381</v>
      </c>
      <c r="N72" s="3">
        <v>158.8791792793225</v>
      </c>
      <c r="O72" s="3">
        <v>161.75537349580759</v>
      </c>
      <c r="P72" s="3">
        <v>175.0905229363687</v>
      </c>
      <c r="Q72" s="3">
        <v>176.75044134739301</v>
      </c>
      <c r="R72" s="3">
        <v>175.92048214188091</v>
      </c>
    </row>
    <row r="73" spans="1:18" x14ac:dyDescent="0.2">
      <c r="A73" s="7">
        <v>45992</v>
      </c>
      <c r="B73" s="3">
        <v>2025</v>
      </c>
      <c r="C73" s="3">
        <v>12</v>
      </c>
      <c r="D73" s="3">
        <v>142.5408662058525</v>
      </c>
      <c r="E73" s="3">
        <v>118.2687953746323</v>
      </c>
      <c r="F73" s="3">
        <v>129.45969938670439</v>
      </c>
      <c r="G73" s="3">
        <v>117.4729381637521</v>
      </c>
      <c r="H73" s="3">
        <v>159.99278412212479</v>
      </c>
      <c r="I73" s="3">
        <v>122.36221119262061</v>
      </c>
      <c r="J73" s="3">
        <v>148.67829708245941</v>
      </c>
      <c r="K73" s="3">
        <v>192.1568057504204</v>
      </c>
      <c r="L73" s="3">
        <v>186.33564616609891</v>
      </c>
      <c r="M73" s="3">
        <v>200.01134343728759</v>
      </c>
      <c r="N73" s="3">
        <v>163.41035738388939</v>
      </c>
      <c r="O73" s="3">
        <v>161.8518751692412</v>
      </c>
      <c r="P73" s="3">
        <v>175.99287213777239</v>
      </c>
      <c r="Q73" s="3">
        <v>170.2381912962357</v>
      </c>
      <c r="R73" s="3">
        <v>173.11553171700399</v>
      </c>
    </row>
    <row r="74" spans="1:18" x14ac:dyDescent="0.2">
      <c r="A74" s="7">
        <v>46023</v>
      </c>
      <c r="B74" s="3">
        <v>2026</v>
      </c>
      <c r="C74" s="3">
        <v>1</v>
      </c>
      <c r="D74" s="3">
        <v>114.8124536850478</v>
      </c>
      <c r="E74" s="3">
        <v>225.57483691298231</v>
      </c>
      <c r="F74" s="3">
        <v>134.22587173217269</v>
      </c>
      <c r="G74" s="3">
        <v>104.1372228440092</v>
      </c>
      <c r="H74" s="3">
        <v>161.76901803761689</v>
      </c>
      <c r="I74" s="3">
        <v>134.84846273933761</v>
      </c>
      <c r="J74" s="3">
        <v>142.8113513082036</v>
      </c>
      <c r="K74" s="3">
        <v>190.5097509858401</v>
      </c>
      <c r="L74" s="3">
        <v>186.7254928751359</v>
      </c>
      <c r="M74" s="3">
        <v>197.51828289452499</v>
      </c>
      <c r="N74" s="3">
        <v>154.3052642929857</v>
      </c>
      <c r="O74" s="3">
        <v>161.39154491804061</v>
      </c>
      <c r="P74" s="3">
        <v>168.8608388879853</v>
      </c>
      <c r="Q74" s="3">
        <v>188.4734268601681</v>
      </c>
      <c r="R74" s="3">
        <v>178.66713287407671</v>
      </c>
    </row>
  </sheetData>
  <autoFilter ref="A1:R74" xr:uid="{00000000-0009-0000-0000-000001000000}">
    <sortState xmlns:xlrd2="http://schemas.microsoft.com/office/spreadsheetml/2017/richdata2" ref="A2:R74">
      <sortCondition ref="A1:A74"/>
    </sortState>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9"/>
  <sheetViews>
    <sheetView workbookViewId="0">
      <selection activeCell="C12" sqref="C12"/>
    </sheetView>
  </sheetViews>
  <sheetFormatPr baseColWidth="10" defaultColWidth="8.83203125" defaultRowHeight="15" x14ac:dyDescent="0.2"/>
  <cols>
    <col min="1" max="1" width="21" customWidth="1"/>
    <col min="2" max="2" width="29" style="17" customWidth="1"/>
    <col min="3" max="3" width="18" style="17" customWidth="1"/>
    <col min="4" max="4" width="15.6640625" style="11" customWidth="1"/>
  </cols>
  <sheetData>
    <row r="1" spans="1:4" ht="48" customHeight="1" x14ac:dyDescent="0.2">
      <c r="A1" s="24" t="s">
        <v>1</v>
      </c>
      <c r="B1" s="25" t="s">
        <v>39</v>
      </c>
      <c r="C1" s="26" t="s">
        <v>40</v>
      </c>
      <c r="D1" s="27" t="s">
        <v>41</v>
      </c>
    </row>
    <row r="2" spans="1:4" x14ac:dyDescent="0.2">
      <c r="A2" s="2">
        <v>41640</v>
      </c>
      <c r="B2" s="16">
        <v>506026.11666666658</v>
      </c>
      <c r="C2" s="16">
        <v>3917648.8611710789</v>
      </c>
      <c r="D2" s="10">
        <v>12.91657661517432</v>
      </c>
    </row>
    <row r="3" spans="1:4" x14ac:dyDescent="0.2">
      <c r="A3" s="2">
        <v>41730</v>
      </c>
      <c r="B3" s="16">
        <v>516163.96610169491</v>
      </c>
      <c r="C3" s="16">
        <v>4702629.524920309</v>
      </c>
      <c r="D3" s="10">
        <v>10.97607122496944</v>
      </c>
    </row>
    <row r="4" spans="1:4" x14ac:dyDescent="0.2">
      <c r="A4" s="2">
        <v>41821</v>
      </c>
      <c r="B4" s="16">
        <v>536614.296875</v>
      </c>
      <c r="C4" s="16">
        <v>4685503.1186782746</v>
      </c>
      <c r="D4" s="10">
        <v>11.452650511229891</v>
      </c>
    </row>
    <row r="5" spans="1:4" x14ac:dyDescent="0.2">
      <c r="A5" s="2">
        <v>41913</v>
      </c>
      <c r="B5" s="16">
        <v>569860.37288135593</v>
      </c>
      <c r="C5" s="16">
        <v>5010564.1968707321</v>
      </c>
      <c r="D5" s="10">
        <v>11.37317775984695</v>
      </c>
    </row>
    <row r="6" spans="1:4" x14ac:dyDescent="0.2">
      <c r="A6" s="2">
        <v>42005</v>
      </c>
      <c r="B6" s="16">
        <v>604285.88135593222</v>
      </c>
      <c r="C6" s="16">
        <v>5092693.740328637</v>
      </c>
      <c r="D6" s="10">
        <v>11.865741632382891</v>
      </c>
    </row>
    <row r="7" spans="1:4" x14ac:dyDescent="0.2">
      <c r="A7" s="2">
        <v>42095</v>
      </c>
      <c r="B7" s="16">
        <v>644589.27868852462</v>
      </c>
      <c r="C7" s="16">
        <v>5951478.8553666007</v>
      </c>
      <c r="D7" s="10">
        <v>10.83074130570559</v>
      </c>
    </row>
    <row r="8" spans="1:4" x14ac:dyDescent="0.2">
      <c r="A8" s="2">
        <v>42186</v>
      </c>
      <c r="B8" s="16">
        <v>696631.265625</v>
      </c>
      <c r="C8" s="16">
        <v>6221730.7557715978</v>
      </c>
      <c r="D8" s="10">
        <v>11.1967440085505</v>
      </c>
    </row>
    <row r="9" spans="1:4" x14ac:dyDescent="0.2">
      <c r="A9" s="2">
        <v>42278</v>
      </c>
      <c r="B9" s="16">
        <v>767089.3666666667</v>
      </c>
      <c r="C9" s="16">
        <v>6552140.2313025314</v>
      </c>
      <c r="D9" s="10">
        <v>11.707462593702351</v>
      </c>
    </row>
    <row r="10" spans="1:4" x14ac:dyDescent="0.2">
      <c r="A10" s="2">
        <v>42370</v>
      </c>
      <c r="B10" s="16">
        <v>816617.23333333328</v>
      </c>
      <c r="C10" s="16">
        <v>7006645.0451060422</v>
      </c>
      <c r="D10" s="10">
        <v>11.65489657427015</v>
      </c>
    </row>
    <row r="11" spans="1:4" x14ac:dyDescent="0.2">
      <c r="A11" s="2">
        <v>42461</v>
      </c>
      <c r="B11" s="16">
        <v>854332.45161290327</v>
      </c>
      <c r="C11" s="16">
        <v>8414556.4821792115</v>
      </c>
      <c r="D11" s="10">
        <v>10.153030090442121</v>
      </c>
    </row>
    <row r="12" spans="1:4" x14ac:dyDescent="0.2">
      <c r="A12" s="2">
        <v>42552</v>
      </c>
      <c r="B12" s="16">
        <v>914140.78125</v>
      </c>
      <c r="C12" s="16">
        <v>8527628.8252780307</v>
      </c>
      <c r="D12" s="10">
        <v>10.719753403668991</v>
      </c>
    </row>
    <row r="13" spans="1:4" x14ac:dyDescent="0.2">
      <c r="A13" s="2">
        <v>42644</v>
      </c>
      <c r="B13" s="16">
        <v>1000715.508196721</v>
      </c>
      <c r="C13" s="16">
        <v>8963807.8735824302</v>
      </c>
      <c r="D13" s="10">
        <v>11.163955344758859</v>
      </c>
    </row>
    <row r="14" spans="1:4" x14ac:dyDescent="0.2">
      <c r="A14" s="2">
        <v>42736</v>
      </c>
      <c r="B14" s="16">
        <v>1090809.3387096771</v>
      </c>
      <c r="C14" s="16">
        <v>9240877.7309983596</v>
      </c>
      <c r="D14" s="10">
        <v>11.80417456504783</v>
      </c>
    </row>
    <row r="15" spans="1:4" x14ac:dyDescent="0.2">
      <c r="A15" s="2">
        <v>42826</v>
      </c>
      <c r="B15" s="16">
        <v>1178024.466666667</v>
      </c>
      <c r="C15" s="16">
        <v>10558208.30464315</v>
      </c>
      <c r="D15" s="10">
        <v>11.157427782028231</v>
      </c>
    </row>
    <row r="16" spans="1:4" x14ac:dyDescent="0.2">
      <c r="A16" s="2">
        <v>42917</v>
      </c>
      <c r="B16" s="16">
        <v>1331719.75</v>
      </c>
      <c r="C16" s="16">
        <v>11116422.3178693</v>
      </c>
      <c r="D16" s="10">
        <v>11.979751325741759</v>
      </c>
    </row>
    <row r="17" spans="1:4" x14ac:dyDescent="0.2">
      <c r="A17" s="2">
        <v>43009</v>
      </c>
      <c r="B17" s="16">
        <v>1503313.716666667</v>
      </c>
      <c r="C17" s="16">
        <v>11725405.625723019</v>
      </c>
      <c r="D17" s="10">
        <v>12.820995406493401</v>
      </c>
    </row>
    <row r="18" spans="1:4" x14ac:dyDescent="0.2">
      <c r="A18" s="2">
        <v>43101</v>
      </c>
      <c r="B18" s="16">
        <v>1693775.9</v>
      </c>
      <c r="C18" s="16">
        <v>12457790.347179029</v>
      </c>
      <c r="D18" s="10">
        <v>13.596118194295521</v>
      </c>
    </row>
    <row r="19" spans="1:4" x14ac:dyDescent="0.2">
      <c r="A19" s="2">
        <v>43191</v>
      </c>
      <c r="B19" s="16">
        <v>1886823.5166666671</v>
      </c>
      <c r="C19" s="16">
        <v>14431394.01269757</v>
      </c>
      <c r="D19" s="10">
        <v>13.07443698790658</v>
      </c>
    </row>
    <row r="20" spans="1:4" x14ac:dyDescent="0.2">
      <c r="A20" s="2">
        <v>43282</v>
      </c>
      <c r="B20" s="16">
        <v>2089968.4603174599</v>
      </c>
      <c r="C20" s="16">
        <v>15276275.653390341</v>
      </c>
      <c r="D20" s="10">
        <v>13.681138699887381</v>
      </c>
    </row>
    <row r="21" spans="1:4" x14ac:dyDescent="0.2">
      <c r="A21" s="2">
        <v>43374</v>
      </c>
      <c r="B21" s="16">
        <v>2150595.8305084752</v>
      </c>
      <c r="C21" s="16">
        <v>16813782.69579633</v>
      </c>
      <c r="D21" s="10">
        <v>12.790672208735939</v>
      </c>
    </row>
    <row r="22" spans="1:4" x14ac:dyDescent="0.2">
      <c r="A22" s="2">
        <v>43466</v>
      </c>
      <c r="B22" s="16">
        <v>2152573.0163934431</v>
      </c>
      <c r="C22" s="16">
        <v>17484108.856974758</v>
      </c>
      <c r="D22" s="10">
        <v>12.311596970724301</v>
      </c>
    </row>
    <row r="23" spans="1:4" x14ac:dyDescent="0.2">
      <c r="A23" s="2">
        <v>43556</v>
      </c>
      <c r="B23" s="16">
        <v>2233441.9491525418</v>
      </c>
      <c r="C23" s="16">
        <v>21233558.1547512</v>
      </c>
      <c r="D23" s="10">
        <v>10.51845353885161</v>
      </c>
    </row>
    <row r="24" spans="1:4" x14ac:dyDescent="0.2">
      <c r="A24" s="2">
        <v>43647</v>
      </c>
      <c r="B24" s="16">
        <v>2364831.047619048</v>
      </c>
      <c r="C24" s="16">
        <v>22303884.008779511</v>
      </c>
      <c r="D24" s="10">
        <v>10.602776837828671</v>
      </c>
    </row>
    <row r="25" spans="1:4" x14ac:dyDescent="0.2">
      <c r="A25" s="2">
        <v>43739</v>
      </c>
      <c r="B25" s="16">
        <v>2460060.2000000002</v>
      </c>
      <c r="C25" s="16">
        <v>25212225.57629694</v>
      </c>
      <c r="D25" s="10">
        <v>9.7574099222434576</v>
      </c>
    </row>
    <row r="26" spans="1:4" x14ac:dyDescent="0.2">
      <c r="A26" s="2">
        <v>43831</v>
      </c>
      <c r="B26" s="16">
        <v>2470171.7457627119</v>
      </c>
      <c r="C26" s="16">
        <v>24999988.082612831</v>
      </c>
      <c r="D26" s="10">
        <v>9.8806916931319844</v>
      </c>
    </row>
    <row r="27" spans="1:4" x14ac:dyDescent="0.2">
      <c r="A27" s="2">
        <v>43922</v>
      </c>
      <c r="B27" s="16">
        <v>2688883.9666666668</v>
      </c>
      <c r="C27" s="16">
        <v>24025361.93909904</v>
      </c>
      <c r="D27" s="10">
        <v>11.191856228774469</v>
      </c>
    </row>
    <row r="28" spans="1:4" x14ac:dyDescent="0.2">
      <c r="A28" s="2">
        <v>44013</v>
      </c>
      <c r="B28" s="16">
        <v>2860247.5714285709</v>
      </c>
      <c r="C28" s="16">
        <v>27536379.505392451</v>
      </c>
      <c r="D28" s="10">
        <v>10.38715917925393</v>
      </c>
    </row>
    <row r="29" spans="1:4" x14ac:dyDescent="0.2">
      <c r="A29" s="2">
        <v>44105</v>
      </c>
      <c r="B29" s="16">
        <v>3086068</v>
      </c>
      <c r="C29" s="16">
        <v>32277527.046046089</v>
      </c>
      <c r="D29" s="10">
        <v>9.561042255800805</v>
      </c>
    </row>
    <row r="30" spans="1:4" x14ac:dyDescent="0.2">
      <c r="A30" s="2">
        <v>44197</v>
      </c>
      <c r="B30" s="16">
        <v>3308933.583333333</v>
      </c>
      <c r="C30" s="16">
        <v>36785109.793720193</v>
      </c>
      <c r="D30" s="10">
        <v>8.9953070736742031</v>
      </c>
    </row>
    <row r="31" spans="1:4" x14ac:dyDescent="0.2">
      <c r="A31" s="2">
        <v>44287</v>
      </c>
      <c r="B31" s="16">
        <v>3484117.15</v>
      </c>
      <c r="C31" s="16">
        <v>46340281.475928783</v>
      </c>
      <c r="D31" s="10">
        <v>7.5185498210877428</v>
      </c>
    </row>
    <row r="32" spans="1:4" x14ac:dyDescent="0.2">
      <c r="A32" s="2">
        <v>44378</v>
      </c>
      <c r="B32" s="16">
        <v>3742844.25</v>
      </c>
      <c r="C32" s="16">
        <v>47462528.989099547</v>
      </c>
      <c r="D32" s="10">
        <v>7.8858929975256853</v>
      </c>
    </row>
    <row r="33" spans="1:4" x14ac:dyDescent="0.2">
      <c r="A33" s="2">
        <v>44470</v>
      </c>
      <c r="B33" s="16">
        <v>4258119.3833333338</v>
      </c>
      <c r="C33" s="16">
        <v>54288413.782466687</v>
      </c>
      <c r="D33" s="10">
        <v>7.8435140882833476</v>
      </c>
    </row>
    <row r="34" spans="1:4" x14ac:dyDescent="0.2">
      <c r="A34" s="2">
        <v>44562</v>
      </c>
      <c r="B34" s="16">
        <v>4691083.4426229512</v>
      </c>
      <c r="C34" s="16">
        <v>60345325.426595442</v>
      </c>
      <c r="D34" s="10">
        <v>7.7737312864924801</v>
      </c>
    </row>
    <row r="35" spans="1:4" x14ac:dyDescent="0.2">
      <c r="A35" s="2">
        <v>44652</v>
      </c>
      <c r="B35" s="16">
        <v>5353238.1355932206</v>
      </c>
      <c r="C35" s="16">
        <v>78676963.283240914</v>
      </c>
      <c r="D35" s="10">
        <v>6.8040731520372768</v>
      </c>
    </row>
    <row r="36" spans="1:4" x14ac:dyDescent="0.2">
      <c r="A36" s="2">
        <v>44743</v>
      </c>
      <c r="B36" s="16">
        <v>6225732.140625</v>
      </c>
      <c r="C36" s="16">
        <v>87863363.941944733</v>
      </c>
      <c r="D36" s="10">
        <v>7.0856974526249878</v>
      </c>
    </row>
    <row r="37" spans="1:4" x14ac:dyDescent="0.2">
      <c r="A37" s="2">
        <v>44835</v>
      </c>
      <c r="B37" s="16">
        <v>7055477.2000000002</v>
      </c>
      <c r="C37" s="16">
        <v>104354529.2276856</v>
      </c>
      <c r="D37" s="10">
        <v>6.7610646631408073</v>
      </c>
    </row>
    <row r="38" spans="1:4" x14ac:dyDescent="0.2">
      <c r="A38" s="2">
        <v>44927</v>
      </c>
      <c r="B38" s="16">
        <v>8036946.1129032262</v>
      </c>
      <c r="C38" s="16">
        <v>120719556.7726799</v>
      </c>
      <c r="D38" s="10">
        <v>6.6575344772323346</v>
      </c>
    </row>
    <row r="39" spans="1:4" x14ac:dyDescent="0.2">
      <c r="A39" s="2">
        <v>45017</v>
      </c>
      <c r="B39" s="16">
        <v>10055511.896551721</v>
      </c>
      <c r="C39" s="16">
        <v>159215855.41502431</v>
      </c>
      <c r="D39" s="10">
        <v>6.3156473143583911</v>
      </c>
    </row>
    <row r="40" spans="1:4" x14ac:dyDescent="0.2">
      <c r="A40" s="2">
        <v>45108</v>
      </c>
      <c r="B40" s="16">
        <v>12421172.484375</v>
      </c>
      <c r="C40" s="16">
        <v>206516399.84174529</v>
      </c>
      <c r="D40" s="10">
        <v>6.01461796442966</v>
      </c>
    </row>
    <row r="41" spans="1:4" x14ac:dyDescent="0.2">
      <c r="A41" s="2">
        <v>45200</v>
      </c>
      <c r="B41" s="16">
        <v>16388836.491525421</v>
      </c>
      <c r="C41" s="16">
        <v>283181180.08567709</v>
      </c>
      <c r="D41" s="10">
        <v>5.7874031341231582</v>
      </c>
    </row>
    <row r="42" spans="1:4" x14ac:dyDescent="0.2">
      <c r="A42" s="2">
        <v>45292</v>
      </c>
      <c r="B42" s="16">
        <v>20788140.983333331</v>
      </c>
      <c r="C42" s="16">
        <v>423472034.40718848</v>
      </c>
      <c r="D42" s="10">
        <v>4.9089761056912078</v>
      </c>
    </row>
    <row r="43" spans="1:4" x14ac:dyDescent="0.2">
      <c r="A43" s="2">
        <v>45383</v>
      </c>
      <c r="B43" s="16">
        <v>28154533.74576271</v>
      </c>
      <c r="C43" s="16">
        <v>559938388.86472714</v>
      </c>
      <c r="D43" s="10">
        <v>5.0281485080610242</v>
      </c>
    </row>
    <row r="44" spans="1:4" x14ac:dyDescent="0.2">
      <c r="A44" s="2">
        <v>45474</v>
      </c>
      <c r="B44" s="16">
        <v>41339304.661538459</v>
      </c>
      <c r="C44" s="16">
        <v>642862095.29497898</v>
      </c>
      <c r="D44" s="10">
        <v>6.4305089636012536</v>
      </c>
    </row>
    <row r="45" spans="1:4" x14ac:dyDescent="0.2">
      <c r="A45" s="2">
        <v>45566</v>
      </c>
      <c r="B45" s="16">
        <v>56164683.233333327</v>
      </c>
      <c r="C45" s="16">
        <v>709365943.36728454</v>
      </c>
      <c r="D45" s="10">
        <v>7.9175894696502587</v>
      </c>
    </row>
    <row r="46" spans="1:4" x14ac:dyDescent="0.2">
      <c r="A46" s="2">
        <v>45658</v>
      </c>
      <c r="B46" s="16">
        <v>71632042.083333328</v>
      </c>
      <c r="C46" s="16">
        <v>723984891.7741555</v>
      </c>
      <c r="D46" s="10">
        <v>9.8941349325392665</v>
      </c>
    </row>
    <row r="47" spans="1:4" x14ac:dyDescent="0.2">
      <c r="A47" s="2">
        <v>45748</v>
      </c>
      <c r="B47" s="16">
        <v>87089673.327586204</v>
      </c>
      <c r="C47" s="16">
        <v>833779385.50210619</v>
      </c>
      <c r="D47" s="10">
        <v>10.44516989049092</v>
      </c>
    </row>
    <row r="48" spans="1:4" x14ac:dyDescent="0.2">
      <c r="A48" s="2">
        <v>45839</v>
      </c>
      <c r="B48" s="16">
        <v>102049584.390625</v>
      </c>
      <c r="C48" s="16">
        <v>893277009.98322308</v>
      </c>
      <c r="D48" s="10">
        <v>11.424181217038329</v>
      </c>
    </row>
    <row r="49" spans="1:4" x14ac:dyDescent="0.2">
      <c r="A49" s="2">
        <v>45931</v>
      </c>
      <c r="B49" s="16">
        <v>111943449.7931034</v>
      </c>
      <c r="C49" s="16">
        <v>939450203.48977244</v>
      </c>
      <c r="D49" s="10">
        <v>11.915847096234319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7"/>
  <sheetViews>
    <sheetView workbookViewId="0">
      <selection activeCell="E25" sqref="E25"/>
    </sheetView>
  </sheetViews>
  <sheetFormatPr baseColWidth="10" defaultColWidth="8.83203125" defaultRowHeight="15" x14ac:dyDescent="0.2"/>
  <cols>
    <col min="1" max="1" width="21" customWidth="1"/>
    <col min="2" max="2" width="25" style="11" customWidth="1"/>
    <col min="3" max="3" width="20.33203125" style="14" customWidth="1"/>
    <col min="4" max="4" width="31.33203125" style="11" customWidth="1"/>
    <col min="5" max="5" width="15.6640625" bestFit="1" customWidth="1"/>
  </cols>
  <sheetData>
    <row r="1" spans="1:4" ht="16" customHeight="1" x14ac:dyDescent="0.2">
      <c r="A1" s="1" t="s">
        <v>1</v>
      </c>
      <c r="B1" s="9" t="s">
        <v>42</v>
      </c>
      <c r="C1" s="12" t="s">
        <v>43</v>
      </c>
      <c r="D1" s="9" t="s">
        <v>44</v>
      </c>
    </row>
    <row r="2" spans="1:4" x14ac:dyDescent="0.2">
      <c r="A2" s="2">
        <v>41640</v>
      </c>
      <c r="B2" s="10">
        <v>500729</v>
      </c>
      <c r="C2" s="13">
        <v>7.2009090909090903</v>
      </c>
      <c r="D2" s="10">
        <v>97496942.957846239</v>
      </c>
    </row>
    <row r="3" spans="1:4" x14ac:dyDescent="0.2">
      <c r="A3" s="2">
        <v>41671</v>
      </c>
      <c r="B3" s="10">
        <v>509333.35</v>
      </c>
      <c r="C3" s="13">
        <v>7.9480000000000004</v>
      </c>
      <c r="D3" s="10">
        <v>89850363.282354042</v>
      </c>
    </row>
    <row r="4" spans="1:4" x14ac:dyDescent="0.2">
      <c r="A4" s="2">
        <v>41699</v>
      </c>
      <c r="B4" s="10">
        <v>508825.66666666669</v>
      </c>
      <c r="C4" s="13">
        <v>8.0033333333333339</v>
      </c>
      <c r="D4" s="10">
        <v>89140217.011786759</v>
      </c>
    </row>
    <row r="5" spans="1:4" x14ac:dyDescent="0.2">
      <c r="A5" s="2">
        <v>41730</v>
      </c>
      <c r="B5" s="10">
        <v>510124.63157894742</v>
      </c>
      <c r="C5" s="13">
        <v>8.0773684210526309</v>
      </c>
      <c r="D5" s="10">
        <v>88548658.087912947</v>
      </c>
    </row>
    <row r="6" spans="1:4" x14ac:dyDescent="0.2">
      <c r="A6" s="2">
        <v>41760</v>
      </c>
      <c r="B6" s="10">
        <v>515993.95</v>
      </c>
      <c r="C6" s="13">
        <v>8.1095000000000006</v>
      </c>
      <c r="D6" s="10">
        <v>89212582.941186249</v>
      </c>
    </row>
    <row r="7" spans="1:4" x14ac:dyDescent="0.2">
      <c r="A7" s="2">
        <v>41791</v>
      </c>
      <c r="B7" s="10">
        <v>522071.35</v>
      </c>
      <c r="C7" s="13">
        <v>8.1919999999999984</v>
      </c>
      <c r="D7" s="10">
        <v>89354308.721942142</v>
      </c>
    </row>
    <row r="8" spans="1:4" x14ac:dyDescent="0.2">
      <c r="A8" s="2">
        <v>41821</v>
      </c>
      <c r="B8" s="10">
        <v>527621.13636363635</v>
      </c>
      <c r="C8" s="13">
        <v>8.2209090909090907</v>
      </c>
      <c r="D8" s="10">
        <v>89986616.234573707</v>
      </c>
    </row>
    <row r="9" spans="1:4" x14ac:dyDescent="0.2">
      <c r="A9" s="2">
        <v>41852</v>
      </c>
      <c r="B9" s="10">
        <v>537182.65</v>
      </c>
      <c r="C9" s="13">
        <v>8.3765000000000001</v>
      </c>
      <c r="D9" s="10">
        <v>89915583.424562767</v>
      </c>
    </row>
    <row r="10" spans="1:4" x14ac:dyDescent="0.2">
      <c r="A10" s="2">
        <v>41883</v>
      </c>
      <c r="B10" s="10">
        <v>545090.77272727271</v>
      </c>
      <c r="C10" s="13">
        <v>8.4918181818181822</v>
      </c>
      <c r="D10" s="10">
        <v>90000252.016556039</v>
      </c>
    </row>
    <row r="11" spans="1:4" x14ac:dyDescent="0.2">
      <c r="A11" s="2">
        <v>41913</v>
      </c>
      <c r="B11" s="10">
        <v>560236.95454545459</v>
      </c>
      <c r="C11" s="13">
        <v>8.5445454545454549</v>
      </c>
      <c r="D11" s="10">
        <v>91930234.971576765</v>
      </c>
    </row>
    <row r="12" spans="1:4" x14ac:dyDescent="0.2">
      <c r="A12" s="2">
        <v>41944</v>
      </c>
      <c r="B12" s="10">
        <v>568496.5555555555</v>
      </c>
      <c r="C12" s="13">
        <v>8.5766666666666662</v>
      </c>
      <c r="D12" s="10">
        <v>92936195.151457429</v>
      </c>
    </row>
    <row r="13" spans="1:4" x14ac:dyDescent="0.2">
      <c r="A13" s="2">
        <v>41974</v>
      </c>
      <c r="B13" s="10">
        <v>582295.31578947371</v>
      </c>
      <c r="C13" s="13">
        <v>8.6026315789473671</v>
      </c>
      <c r="D13" s="10">
        <v>94904663.709874585</v>
      </c>
    </row>
    <row r="14" spans="1:4" x14ac:dyDescent="0.2">
      <c r="A14" s="2">
        <v>42005</v>
      </c>
      <c r="B14" s="10">
        <v>597164</v>
      </c>
      <c r="C14" s="13">
        <v>8.6642857142857146</v>
      </c>
      <c r="D14" s="10">
        <v>96635441.536224231</v>
      </c>
    </row>
    <row r="15" spans="1:4" x14ac:dyDescent="0.2">
      <c r="A15" s="2">
        <v>42036</v>
      </c>
      <c r="B15" s="10">
        <v>601729.4444444445</v>
      </c>
      <c r="C15" s="13">
        <v>8.7461111111111123</v>
      </c>
      <c r="D15" s="10">
        <v>96463242.270024762</v>
      </c>
    </row>
    <row r="16" spans="1:4" x14ac:dyDescent="0.2">
      <c r="A16" s="2">
        <v>42064</v>
      </c>
      <c r="B16" s="10">
        <v>614064.65</v>
      </c>
      <c r="C16" s="13">
        <v>8.8409999999999993</v>
      </c>
      <c r="D16" s="10">
        <v>97384152.364421457</v>
      </c>
    </row>
    <row r="17" spans="1:4" x14ac:dyDescent="0.2">
      <c r="A17" s="2">
        <v>42095</v>
      </c>
      <c r="B17" s="10">
        <v>628855.5</v>
      </c>
      <c r="C17" s="13">
        <v>8.9269999999999996</v>
      </c>
      <c r="D17" s="10">
        <v>98769057.817799926</v>
      </c>
    </row>
    <row r="18" spans="1:4" x14ac:dyDescent="0.2">
      <c r="A18" s="2">
        <v>42125</v>
      </c>
      <c r="B18" s="10">
        <v>642711.89473684214</v>
      </c>
      <c r="C18" s="13">
        <v>9.0089473684210528</v>
      </c>
      <c r="D18" s="10">
        <v>100027144.2297949</v>
      </c>
    </row>
    <row r="19" spans="1:4" x14ac:dyDescent="0.2">
      <c r="A19" s="2">
        <v>42156</v>
      </c>
      <c r="B19" s="10">
        <v>660514.09090909094</v>
      </c>
      <c r="C19" s="13">
        <v>9.1040909090909086</v>
      </c>
      <c r="D19" s="10">
        <v>101723450.529682</v>
      </c>
    </row>
    <row r="20" spans="1:4" x14ac:dyDescent="0.2">
      <c r="A20" s="2">
        <v>42186</v>
      </c>
      <c r="B20" s="10">
        <v>680920.63636363635</v>
      </c>
      <c r="C20" s="13">
        <v>9.206818181818182</v>
      </c>
      <c r="D20" s="10">
        <v>103696121.20763271</v>
      </c>
    </row>
    <row r="21" spans="1:4" x14ac:dyDescent="0.2">
      <c r="A21" s="2">
        <v>42217</v>
      </c>
      <c r="B21" s="10">
        <v>695427.6</v>
      </c>
      <c r="C21" s="13">
        <v>9.3114999999999988</v>
      </c>
      <c r="D21" s="10">
        <v>104714749.3160501</v>
      </c>
    </row>
    <row r="22" spans="1:4" x14ac:dyDescent="0.2">
      <c r="A22" s="2">
        <v>42248</v>
      </c>
      <c r="B22" s="10">
        <v>713436.13636363635</v>
      </c>
      <c r="C22" s="13">
        <v>9.4359090909090906</v>
      </c>
      <c r="D22" s="10">
        <v>106010025.039525</v>
      </c>
    </row>
    <row r="23" spans="1:4" x14ac:dyDescent="0.2">
      <c r="A23" s="2">
        <v>42278</v>
      </c>
      <c r="B23" s="10">
        <v>739870.80952380947</v>
      </c>
      <c r="C23" s="13">
        <v>9.5628571428571423</v>
      </c>
      <c r="D23" s="10">
        <v>108478533.973424</v>
      </c>
    </row>
    <row r="24" spans="1:4" x14ac:dyDescent="0.2">
      <c r="A24" s="2">
        <v>42309</v>
      </c>
      <c r="B24" s="10">
        <v>767093.15789473685</v>
      </c>
      <c r="C24" s="13">
        <v>9.7005263157894746</v>
      </c>
      <c r="D24" s="10">
        <v>110873662.2783896</v>
      </c>
    </row>
    <row r="25" spans="1:4" x14ac:dyDescent="0.2">
      <c r="A25" s="2">
        <v>42339</v>
      </c>
      <c r="B25" s="10">
        <v>795665.25</v>
      </c>
      <c r="C25" s="13">
        <v>11.628500000000001</v>
      </c>
      <c r="D25" s="10">
        <v>95936147.801285639</v>
      </c>
    </row>
    <row r="26" spans="1:4" x14ac:dyDescent="0.2">
      <c r="A26" s="2">
        <v>42370</v>
      </c>
      <c r="B26" s="10">
        <v>809188</v>
      </c>
      <c r="C26" s="13">
        <v>13.894500000000001</v>
      </c>
      <c r="D26" s="10">
        <v>81654870.181150824</v>
      </c>
    </row>
    <row r="27" spans="1:4" x14ac:dyDescent="0.2">
      <c r="A27" s="2">
        <v>42401</v>
      </c>
      <c r="B27" s="10">
        <v>813640.73684210528</v>
      </c>
      <c r="C27" s="13">
        <v>15.02736842105263</v>
      </c>
      <c r="D27" s="10">
        <v>75914604.281612501</v>
      </c>
    </row>
    <row r="28" spans="1:4" x14ac:dyDescent="0.2">
      <c r="A28" s="2">
        <v>42430</v>
      </c>
      <c r="B28" s="10">
        <v>826385.71428571432</v>
      </c>
      <c r="C28" s="13">
        <v>15.18380952380952</v>
      </c>
      <c r="D28" s="10">
        <v>76309329.219406635</v>
      </c>
    </row>
    <row r="29" spans="1:4" x14ac:dyDescent="0.2">
      <c r="A29" s="2">
        <v>42461</v>
      </c>
      <c r="B29" s="10">
        <v>834969</v>
      </c>
      <c r="C29" s="13">
        <v>14.658095238095241</v>
      </c>
      <c r="D29" s="10">
        <v>79867188.14586772</v>
      </c>
    </row>
    <row r="30" spans="1:4" x14ac:dyDescent="0.2">
      <c r="A30" s="2">
        <v>42491</v>
      </c>
      <c r="B30" s="10">
        <v>855860.23809523811</v>
      </c>
      <c r="C30" s="13">
        <v>14.39428571428572</v>
      </c>
      <c r="D30" s="10">
        <v>83365875.124999985</v>
      </c>
    </row>
    <row r="31" spans="1:4" x14ac:dyDescent="0.2">
      <c r="A31" s="2">
        <v>42522</v>
      </c>
      <c r="B31" s="10">
        <v>873059.9</v>
      </c>
      <c r="C31" s="13">
        <v>14.41</v>
      </c>
      <c r="D31" s="10">
        <v>84948485.921658561</v>
      </c>
    </row>
    <row r="32" spans="1:4" x14ac:dyDescent="0.2">
      <c r="A32" s="2">
        <v>42552</v>
      </c>
      <c r="B32" s="10">
        <v>894221.2</v>
      </c>
      <c r="C32" s="13">
        <v>15.1465</v>
      </c>
      <c r="D32" s="10">
        <v>82776727.830640733</v>
      </c>
    </row>
    <row r="33" spans="1:4" x14ac:dyDescent="0.2">
      <c r="A33" s="2">
        <v>42583</v>
      </c>
      <c r="B33" s="10">
        <v>909132.63636363635</v>
      </c>
      <c r="C33" s="13">
        <v>15.09227272727273</v>
      </c>
      <c r="D33" s="10">
        <v>84459437.754726976</v>
      </c>
    </row>
    <row r="34" spans="1:4" x14ac:dyDescent="0.2">
      <c r="A34" s="2">
        <v>42614</v>
      </c>
      <c r="B34" s="10">
        <v>937257.63636363635</v>
      </c>
      <c r="C34" s="13">
        <v>15.32727272727273</v>
      </c>
      <c r="D34" s="10">
        <v>85737276.650213525</v>
      </c>
    </row>
    <row r="35" spans="1:4" x14ac:dyDescent="0.2">
      <c r="A35" s="2">
        <v>42644</v>
      </c>
      <c r="B35" s="10">
        <v>965824.85</v>
      </c>
      <c r="C35" s="13">
        <v>15.406499999999999</v>
      </c>
      <c r="D35" s="10">
        <v>87896173.570353419</v>
      </c>
    </row>
    <row r="36" spans="1:4" x14ac:dyDescent="0.2">
      <c r="A36" s="2">
        <v>42675</v>
      </c>
      <c r="B36" s="10">
        <v>993809.95238095243</v>
      </c>
      <c r="C36" s="13">
        <v>15.560952380952379</v>
      </c>
      <c r="D36" s="10">
        <v>89545290.558788806</v>
      </c>
    </row>
    <row r="37" spans="1:4" x14ac:dyDescent="0.2">
      <c r="A37" s="2">
        <v>42705</v>
      </c>
      <c r="B37" s="10">
        <v>1042857</v>
      </c>
      <c r="C37" s="13">
        <v>16.071000000000002</v>
      </c>
      <c r="D37" s="10">
        <v>90982411.067948475</v>
      </c>
    </row>
    <row r="38" spans="1:4" x14ac:dyDescent="0.2">
      <c r="A38" s="2">
        <v>42736</v>
      </c>
      <c r="B38" s="10">
        <v>1070890.5454545449</v>
      </c>
      <c r="C38" s="13">
        <v>16.151363636363641</v>
      </c>
      <c r="D38" s="10">
        <v>92963287.050595209</v>
      </c>
    </row>
    <row r="39" spans="1:4" x14ac:dyDescent="0.2">
      <c r="A39" s="2">
        <v>42767</v>
      </c>
      <c r="B39" s="10">
        <v>1089635.222222222</v>
      </c>
      <c r="C39" s="13">
        <v>15.86944444444444</v>
      </c>
      <c r="D39" s="10">
        <v>96270891.173204973</v>
      </c>
    </row>
    <row r="40" spans="1:4" x14ac:dyDescent="0.2">
      <c r="A40" s="2">
        <v>42795</v>
      </c>
      <c r="B40" s="10">
        <v>1111688.7727272729</v>
      </c>
      <c r="C40" s="13">
        <v>15.804545454545449</v>
      </c>
      <c r="D40" s="10">
        <v>98622678.149603099</v>
      </c>
    </row>
    <row r="41" spans="1:4" x14ac:dyDescent="0.2">
      <c r="A41" s="2">
        <v>42826</v>
      </c>
      <c r="B41" s="10">
        <v>1135971.388888889</v>
      </c>
      <c r="C41" s="13">
        <v>15.649444444444439</v>
      </c>
      <c r="D41" s="10">
        <v>101775688.8642302</v>
      </c>
    </row>
    <row r="42" spans="1:4" x14ac:dyDescent="0.2">
      <c r="A42" s="2">
        <v>42856</v>
      </c>
      <c r="B42" s="10">
        <v>1171244.2857142859</v>
      </c>
      <c r="C42" s="13">
        <v>15.99190476190476</v>
      </c>
      <c r="D42" s="10">
        <v>102688751.2002203</v>
      </c>
    </row>
    <row r="43" spans="1:4" x14ac:dyDescent="0.2">
      <c r="A43" s="2">
        <v>42887</v>
      </c>
      <c r="B43" s="10">
        <v>1220850.142857143</v>
      </c>
      <c r="C43" s="13">
        <v>16.386190476190482</v>
      </c>
      <c r="D43" s="10">
        <v>104462386.08269741</v>
      </c>
    </row>
    <row r="44" spans="1:4" x14ac:dyDescent="0.2">
      <c r="A44" s="2">
        <v>42917</v>
      </c>
      <c r="B44" s="10">
        <v>1282389.3809523811</v>
      </c>
      <c r="C44" s="13">
        <v>17.459523809523809</v>
      </c>
      <c r="D44" s="10">
        <v>102982421.763952</v>
      </c>
    </row>
    <row r="45" spans="1:4" x14ac:dyDescent="0.2">
      <c r="A45" s="2">
        <v>42948</v>
      </c>
      <c r="B45" s="10">
        <v>1330757.0909090911</v>
      </c>
      <c r="C45" s="13">
        <v>17.699090909090909</v>
      </c>
      <c r="D45" s="10">
        <v>105420096.9088911</v>
      </c>
    </row>
    <row r="46" spans="1:4" x14ac:dyDescent="0.2">
      <c r="A46" s="2">
        <v>42979</v>
      </c>
      <c r="B46" s="10">
        <v>1382058.6190476189</v>
      </c>
      <c r="C46" s="13">
        <v>17.522380952380949</v>
      </c>
      <c r="D46" s="10">
        <v>110588235.2625459</v>
      </c>
    </row>
    <row r="47" spans="1:4" x14ac:dyDescent="0.2">
      <c r="A47" s="2">
        <v>43009</v>
      </c>
      <c r="B47" s="10">
        <v>1441856.476190476</v>
      </c>
      <c r="C47" s="13">
        <v>17.748571428571431</v>
      </c>
      <c r="D47" s="10">
        <v>113902750.5949613</v>
      </c>
    </row>
    <row r="48" spans="1:4" x14ac:dyDescent="0.2">
      <c r="A48" s="2">
        <v>43040</v>
      </c>
      <c r="B48" s="10">
        <v>1503317.85</v>
      </c>
      <c r="C48" s="13">
        <v>17.766999999999999</v>
      </c>
      <c r="D48" s="10">
        <v>118634852.30982441</v>
      </c>
    </row>
    <row r="49" spans="1:4" x14ac:dyDescent="0.2">
      <c r="A49" s="2">
        <v>43070</v>
      </c>
      <c r="B49" s="10">
        <v>1571235.789473684</v>
      </c>
      <c r="C49" s="13">
        <v>18.027368421052628</v>
      </c>
      <c r="D49" s="10">
        <v>122203771.808128</v>
      </c>
    </row>
    <row r="50" spans="1:4" x14ac:dyDescent="0.2">
      <c r="A50" s="2">
        <v>43101</v>
      </c>
      <c r="B50" s="10">
        <v>1644824.5909090911</v>
      </c>
      <c r="C50" s="13">
        <v>19.34454545454545</v>
      </c>
      <c r="D50" s="10">
        <v>119216575.61104611</v>
      </c>
    </row>
    <row r="51" spans="1:4" x14ac:dyDescent="0.2">
      <c r="A51" s="2">
        <v>43132</v>
      </c>
      <c r="B51" s="10">
        <v>1699603.166666667</v>
      </c>
      <c r="C51" s="13">
        <v>20.140555555555562</v>
      </c>
      <c r="D51" s="10">
        <v>118318230.9830166</v>
      </c>
    </row>
    <row r="52" spans="1:4" x14ac:dyDescent="0.2">
      <c r="A52" s="2">
        <v>43160</v>
      </c>
      <c r="B52" s="10">
        <v>1742377.8</v>
      </c>
      <c r="C52" s="13">
        <v>20.543500000000002</v>
      </c>
      <c r="D52" s="10">
        <v>118916871.3814199</v>
      </c>
    </row>
    <row r="53" spans="1:4" x14ac:dyDescent="0.2">
      <c r="A53" s="2">
        <v>43191</v>
      </c>
      <c r="B53" s="10">
        <v>1790999.631578947</v>
      </c>
      <c r="C53" s="13">
        <v>20.532105263157899</v>
      </c>
      <c r="D53" s="10">
        <v>122303136.97771651</v>
      </c>
    </row>
    <row r="54" spans="1:4" x14ac:dyDescent="0.2">
      <c r="A54" s="2">
        <v>43221</v>
      </c>
      <c r="B54" s="10">
        <v>1895182.666666667</v>
      </c>
      <c r="C54" s="13">
        <v>24.22190476190476</v>
      </c>
      <c r="D54" s="10">
        <v>109702964.9832973</v>
      </c>
    </row>
    <row r="55" spans="1:4" x14ac:dyDescent="0.2">
      <c r="A55" s="2">
        <v>43252</v>
      </c>
      <c r="B55" s="10">
        <v>1969079.1</v>
      </c>
      <c r="C55" s="13">
        <v>27.246500000000001</v>
      </c>
      <c r="D55" s="10">
        <v>101327662.1305452</v>
      </c>
    </row>
    <row r="56" spans="1:4" x14ac:dyDescent="0.2">
      <c r="A56" s="2">
        <v>43282</v>
      </c>
      <c r="B56" s="10">
        <v>2002493.809523809</v>
      </c>
      <c r="C56" s="13">
        <v>28.267142857142861</v>
      </c>
      <c r="D56" s="10">
        <v>99326435.540051535</v>
      </c>
    </row>
    <row r="57" spans="1:4" x14ac:dyDescent="0.2">
      <c r="A57" s="2">
        <v>43313</v>
      </c>
      <c r="B57" s="10">
        <v>2063586.5909090911</v>
      </c>
      <c r="C57" s="13">
        <v>30.88045454545454</v>
      </c>
      <c r="D57" s="10">
        <v>93694607.228086323</v>
      </c>
    </row>
    <row r="58" spans="1:4" x14ac:dyDescent="0.2">
      <c r="A58" s="2">
        <v>43344</v>
      </c>
      <c r="B58" s="10">
        <v>2210836.9</v>
      </c>
      <c r="C58" s="13">
        <v>39.391500000000001</v>
      </c>
      <c r="D58" s="10">
        <v>78691852.259601682</v>
      </c>
    </row>
    <row r="59" spans="1:4" x14ac:dyDescent="0.2">
      <c r="A59" s="2">
        <v>43374</v>
      </c>
      <c r="B59" s="10">
        <v>2160164.3636363642</v>
      </c>
      <c r="C59" s="13">
        <v>38.075909090909093</v>
      </c>
      <c r="D59" s="10">
        <v>79544855.651776955</v>
      </c>
    </row>
    <row r="60" spans="1:4" x14ac:dyDescent="0.2">
      <c r="A60" s="2">
        <v>43405</v>
      </c>
      <c r="B60" s="10">
        <v>2138787.5263157901</v>
      </c>
      <c r="C60" s="13">
        <v>37.485263157894742</v>
      </c>
      <c r="D60" s="10">
        <v>79998650.43905957</v>
      </c>
    </row>
    <row r="61" spans="1:4" x14ac:dyDescent="0.2">
      <c r="A61" s="2">
        <v>43435</v>
      </c>
      <c r="B61" s="10">
        <v>2151365.277777778</v>
      </c>
      <c r="C61" s="13">
        <v>38.838888888888889</v>
      </c>
      <c r="D61" s="10">
        <v>77664569.642647699</v>
      </c>
    </row>
    <row r="62" spans="1:4" x14ac:dyDescent="0.2">
      <c r="A62" s="2">
        <v>43466</v>
      </c>
      <c r="B62" s="10">
        <v>2128173.0454545449</v>
      </c>
      <c r="C62" s="13">
        <v>38.43</v>
      </c>
      <c r="D62" s="10">
        <v>77644757.146196142</v>
      </c>
    </row>
    <row r="63" spans="1:4" x14ac:dyDescent="0.2">
      <c r="A63" s="2">
        <v>43497</v>
      </c>
      <c r="B63" s="10">
        <v>2144527.1</v>
      </c>
      <c r="C63" s="13">
        <v>39.427999999999997</v>
      </c>
      <c r="D63" s="10">
        <v>76260978.419191942</v>
      </c>
    </row>
    <row r="64" spans="1:4" x14ac:dyDescent="0.2">
      <c r="A64" s="2">
        <v>43525</v>
      </c>
      <c r="B64" s="10">
        <v>2189295</v>
      </c>
      <c r="C64" s="13">
        <v>42.5421052631579</v>
      </c>
      <c r="D64" s="10">
        <v>72154079.311944813</v>
      </c>
    </row>
    <row r="65" spans="1:4" x14ac:dyDescent="0.2">
      <c r="A65" s="2">
        <v>43556</v>
      </c>
      <c r="B65" s="10">
        <v>2214740</v>
      </c>
      <c r="C65" s="13">
        <v>44.354210526315789</v>
      </c>
      <c r="D65" s="10">
        <v>70010548.153429925</v>
      </c>
    </row>
    <row r="66" spans="1:4" x14ac:dyDescent="0.2">
      <c r="A66" s="2">
        <v>43586</v>
      </c>
      <c r="B66" s="10">
        <v>2255079</v>
      </c>
      <c r="C66" s="13">
        <v>46.088636363636368</v>
      </c>
      <c r="D66" s="10">
        <v>68603059.441473424</v>
      </c>
    </row>
    <row r="67" spans="1:4" x14ac:dyDescent="0.2">
      <c r="A67" s="2">
        <v>43617</v>
      </c>
      <c r="B67" s="10">
        <v>2226737.611111111</v>
      </c>
      <c r="C67" s="13">
        <v>44.955000000000013</v>
      </c>
      <c r="D67" s="10">
        <v>69449100.443224683</v>
      </c>
    </row>
    <row r="68" spans="1:4" x14ac:dyDescent="0.2">
      <c r="A68" s="2">
        <v>43647</v>
      </c>
      <c r="B68" s="10">
        <v>2235149.666666667</v>
      </c>
      <c r="C68" s="13">
        <v>43.751428571428569</v>
      </c>
      <c r="D68" s="10">
        <v>71629175.624988571</v>
      </c>
    </row>
    <row r="69" spans="1:4" x14ac:dyDescent="0.2">
      <c r="A69" s="2">
        <v>43678</v>
      </c>
      <c r="B69" s="10">
        <v>2419787.952380952</v>
      </c>
      <c r="C69" s="13">
        <v>54.650476190476198</v>
      </c>
      <c r="D69" s="10">
        <v>62081033.997597709</v>
      </c>
    </row>
    <row r="70" spans="1:4" x14ac:dyDescent="0.2">
      <c r="A70" s="2">
        <v>43709</v>
      </c>
      <c r="B70" s="10">
        <v>2439555.5238095238</v>
      </c>
      <c r="C70" s="13">
        <v>58.79</v>
      </c>
      <c r="D70" s="10">
        <v>58181220.697781444</v>
      </c>
    </row>
    <row r="71" spans="1:4" x14ac:dyDescent="0.2">
      <c r="A71" s="2">
        <v>43739</v>
      </c>
      <c r="B71" s="10">
        <v>2444357.3636363642</v>
      </c>
      <c r="C71" s="13">
        <v>61.403181818181807</v>
      </c>
      <c r="D71" s="10">
        <v>55814804.219294243</v>
      </c>
    </row>
    <row r="72" spans="1:4" x14ac:dyDescent="0.2">
      <c r="A72" s="2">
        <v>43770</v>
      </c>
      <c r="B72" s="10">
        <v>2465038.7368421052</v>
      </c>
      <c r="C72" s="13">
        <v>63.012631578947371</v>
      </c>
      <c r="D72" s="10">
        <v>54849378.781617723</v>
      </c>
    </row>
    <row r="73" spans="1:4" x14ac:dyDescent="0.2">
      <c r="A73" s="2">
        <v>43800</v>
      </c>
      <c r="B73" s="10">
        <v>2473263.8947368418</v>
      </c>
      <c r="C73" s="13">
        <v>63.01157894736842</v>
      </c>
      <c r="D73" s="10">
        <v>55033315.445152938</v>
      </c>
    </row>
    <row r="74" spans="1:4" x14ac:dyDescent="0.2">
      <c r="A74" s="2">
        <v>43831</v>
      </c>
      <c r="B74" s="10">
        <v>2453101.4090909092</v>
      </c>
      <c r="C74" s="13">
        <v>62.983636363636357</v>
      </c>
      <c r="D74" s="10">
        <v>54608890.501543693</v>
      </c>
    </row>
    <row r="75" spans="1:4" x14ac:dyDescent="0.2">
      <c r="A75" s="2">
        <v>43862</v>
      </c>
      <c r="B75" s="10">
        <v>2460176.388888889</v>
      </c>
      <c r="C75" s="13">
        <v>63.580555555555563</v>
      </c>
      <c r="D75" s="10">
        <v>54252219.45264101</v>
      </c>
    </row>
    <row r="76" spans="1:4" x14ac:dyDescent="0.2">
      <c r="A76" s="2">
        <v>43891</v>
      </c>
      <c r="B76" s="10">
        <v>2499406.6842105258</v>
      </c>
      <c r="C76" s="13">
        <v>65.2</v>
      </c>
      <c r="D76" s="10">
        <v>53748322.368988536</v>
      </c>
    </row>
    <row r="77" spans="1:4" x14ac:dyDescent="0.2">
      <c r="A77" s="2">
        <v>43922</v>
      </c>
      <c r="B77" s="10">
        <v>2618153.15</v>
      </c>
      <c r="C77" s="13">
        <v>67.872</v>
      </c>
      <c r="D77" s="10">
        <v>54085392.089968607</v>
      </c>
    </row>
    <row r="78" spans="1:4" x14ac:dyDescent="0.2">
      <c r="A78" s="2">
        <v>43952</v>
      </c>
      <c r="B78" s="10">
        <v>2691892.421052631</v>
      </c>
      <c r="C78" s="13">
        <v>70.04789473684211</v>
      </c>
      <c r="D78" s="10">
        <v>53881316.018426478</v>
      </c>
    </row>
    <row r="79" spans="1:4" x14ac:dyDescent="0.2">
      <c r="A79" s="2">
        <v>43983</v>
      </c>
      <c r="B79" s="10">
        <v>2753524.7142857141</v>
      </c>
      <c r="C79" s="13">
        <v>72.52095238095238</v>
      </c>
      <c r="D79" s="10">
        <v>53235466.253227957</v>
      </c>
    </row>
    <row r="80" spans="1:4" x14ac:dyDescent="0.2">
      <c r="A80" s="2">
        <v>44013</v>
      </c>
      <c r="B80" s="10">
        <v>2793369.2380952379</v>
      </c>
      <c r="C80" s="13">
        <v>75.324285714285708</v>
      </c>
      <c r="D80" s="10">
        <v>51995876.821556307</v>
      </c>
    </row>
    <row r="81" spans="1:4" x14ac:dyDescent="0.2">
      <c r="A81" s="2">
        <v>44044</v>
      </c>
      <c r="B81" s="10">
        <v>2865220.05</v>
      </c>
      <c r="C81" s="13">
        <v>77.488500000000002</v>
      </c>
      <c r="D81" s="10">
        <v>51843738.29257825</v>
      </c>
    </row>
    <row r="82" spans="1:4" x14ac:dyDescent="0.2">
      <c r="A82" s="2">
        <v>44075</v>
      </c>
      <c r="B82" s="10">
        <v>2919565.5454545449</v>
      </c>
      <c r="C82" s="13">
        <v>79.430909090909097</v>
      </c>
      <c r="D82" s="10">
        <v>51535237.137671389</v>
      </c>
    </row>
    <row r="83" spans="1:4" x14ac:dyDescent="0.2">
      <c r="A83" s="2">
        <v>44105</v>
      </c>
      <c r="B83" s="10">
        <v>3003341.7142857141</v>
      </c>
      <c r="C83" s="13">
        <v>83.134761904761902</v>
      </c>
      <c r="D83" s="10">
        <v>50652125.348781951</v>
      </c>
    </row>
    <row r="84" spans="1:4" x14ac:dyDescent="0.2">
      <c r="A84" s="2">
        <v>44136</v>
      </c>
      <c r="B84" s="10">
        <v>3090777.1578947371</v>
      </c>
      <c r="C84" s="13">
        <v>85.484736842105264</v>
      </c>
      <c r="D84" s="10">
        <v>50693782.476511039</v>
      </c>
    </row>
    <row r="85" spans="1:4" x14ac:dyDescent="0.2">
      <c r="A85" s="2">
        <v>44166</v>
      </c>
      <c r="B85" s="10">
        <v>3177611.222222222</v>
      </c>
      <c r="C85" s="13">
        <v>88.181666666666672</v>
      </c>
      <c r="D85" s="10">
        <v>50524036.450747497</v>
      </c>
    </row>
    <row r="86" spans="1:4" x14ac:dyDescent="0.2">
      <c r="A86" s="2">
        <v>44197</v>
      </c>
      <c r="B86" s="10">
        <v>3255408.85</v>
      </c>
      <c r="C86" s="13">
        <v>91.474000000000004</v>
      </c>
      <c r="D86" s="10">
        <v>49898035.934666127</v>
      </c>
    </row>
    <row r="87" spans="1:4" x14ac:dyDescent="0.2">
      <c r="A87" s="2">
        <v>44228</v>
      </c>
      <c r="B87" s="10">
        <v>3304566.5</v>
      </c>
      <c r="C87" s="13">
        <v>93.997777777777785</v>
      </c>
      <c r="D87" s="10">
        <v>49291551.874472797</v>
      </c>
    </row>
    <row r="88" spans="1:4" x14ac:dyDescent="0.2">
      <c r="A88" s="2">
        <v>44256</v>
      </c>
      <c r="B88" s="10">
        <v>3361165.5</v>
      </c>
      <c r="C88" s="13">
        <v>96.635909090909081</v>
      </c>
      <c r="D88" s="10">
        <v>48767101.371148974</v>
      </c>
    </row>
    <row r="89" spans="1:4" x14ac:dyDescent="0.2">
      <c r="A89" s="2">
        <v>44287</v>
      </c>
      <c r="B89" s="10">
        <v>3420960.6</v>
      </c>
      <c r="C89" s="13">
        <v>98.525999999999996</v>
      </c>
      <c r="D89" s="10">
        <v>48682492.201991349</v>
      </c>
    </row>
    <row r="90" spans="1:4" x14ac:dyDescent="0.2">
      <c r="A90" s="2">
        <v>44317</v>
      </c>
      <c r="B90" s="10">
        <v>3484154</v>
      </c>
      <c r="C90" s="13">
        <v>99.613157894736844</v>
      </c>
      <c r="D90" s="10">
        <v>49040649.859410867</v>
      </c>
    </row>
    <row r="91" spans="1:4" x14ac:dyDescent="0.2">
      <c r="A91" s="2">
        <v>44348</v>
      </c>
      <c r="B91" s="10">
        <v>3544232.9047619049</v>
      </c>
      <c r="C91" s="13">
        <v>100.61904761904761</v>
      </c>
      <c r="D91" s="10">
        <v>49387567.13360104</v>
      </c>
    </row>
    <row r="92" spans="1:4" x14ac:dyDescent="0.2">
      <c r="A92" s="2">
        <v>44378</v>
      </c>
      <c r="B92" s="10">
        <v>3635915.333333333</v>
      </c>
      <c r="C92" s="13">
        <v>101.61904761904761</v>
      </c>
      <c r="D92" s="10">
        <v>50166548.626878157</v>
      </c>
    </row>
    <row r="93" spans="1:4" x14ac:dyDescent="0.2">
      <c r="A93" s="2">
        <v>44409</v>
      </c>
      <c r="B93" s="10">
        <v>3734686.5238095238</v>
      </c>
      <c r="C93" s="13">
        <v>102.56904761904759</v>
      </c>
      <c r="D93" s="10">
        <v>51052076.772029527</v>
      </c>
    </row>
    <row r="94" spans="1:4" x14ac:dyDescent="0.2">
      <c r="A94" s="2">
        <v>44440</v>
      </c>
      <c r="B94" s="10">
        <v>3852699.6818181821</v>
      </c>
      <c r="C94" s="13">
        <v>103.7818181818182</v>
      </c>
      <c r="D94" s="10">
        <v>52049847.832856081</v>
      </c>
    </row>
    <row r="95" spans="1:4" x14ac:dyDescent="0.2">
      <c r="A95" s="2">
        <v>44470</v>
      </c>
      <c r="B95" s="10">
        <v>4025387</v>
      </c>
      <c r="C95" s="13">
        <v>104.76684210526319</v>
      </c>
      <c r="D95" s="10">
        <v>53871537.215680443</v>
      </c>
    </row>
    <row r="96" spans="1:4" x14ac:dyDescent="0.2">
      <c r="A96" s="2">
        <v>44501</v>
      </c>
      <c r="B96" s="10">
        <v>4258009.1428571427</v>
      </c>
      <c r="C96" s="13">
        <v>105.8319047619048</v>
      </c>
      <c r="D96" s="10">
        <v>56411228.679391854</v>
      </c>
    </row>
    <row r="97" spans="1:4" x14ac:dyDescent="0.2">
      <c r="A97" s="2">
        <v>44531</v>
      </c>
      <c r="B97" s="10">
        <v>4479330.9000000004</v>
      </c>
      <c r="C97" s="13">
        <v>107.4385</v>
      </c>
      <c r="D97" s="10">
        <v>58455959.290664896</v>
      </c>
    </row>
    <row r="98" spans="1:4" x14ac:dyDescent="0.2">
      <c r="A98" s="2">
        <v>44621</v>
      </c>
      <c r="B98" s="10">
        <v>4855460.4761904757</v>
      </c>
      <c r="C98" s="13">
        <v>114.9209523809524</v>
      </c>
      <c r="D98" s="10">
        <v>59238873.178097568</v>
      </c>
    </row>
    <row r="99" spans="1:4" x14ac:dyDescent="0.2">
      <c r="A99" s="2">
        <v>44652</v>
      </c>
      <c r="B99" s="10">
        <v>5084735.3157894732</v>
      </c>
      <c r="C99" s="13">
        <v>118.6952631578947</v>
      </c>
      <c r="D99" s="10">
        <v>60063487.493146516</v>
      </c>
    </row>
    <row r="100" spans="1:4" x14ac:dyDescent="0.2">
      <c r="A100" s="2">
        <v>44682</v>
      </c>
      <c r="B100" s="10">
        <v>5305420.3</v>
      </c>
      <c r="C100" s="13">
        <v>123.2025</v>
      </c>
      <c r="D100" s="10">
        <v>60377601.452946968</v>
      </c>
    </row>
    <row r="101" spans="1:4" x14ac:dyDescent="0.2">
      <c r="A101" s="2">
        <v>44713</v>
      </c>
      <c r="B101" s="10">
        <v>5656133.6500000004</v>
      </c>
      <c r="C101" s="13">
        <v>127.99250000000001</v>
      </c>
      <c r="D101" s="10">
        <v>61959902.128600113</v>
      </c>
    </row>
    <row r="102" spans="1:4" x14ac:dyDescent="0.2">
      <c r="A102" s="2">
        <v>44743</v>
      </c>
      <c r="B102" s="10">
        <v>5976689.5714285718</v>
      </c>
      <c r="C102" s="13">
        <v>135.21238095238101</v>
      </c>
      <c r="D102" s="10">
        <v>61975468.854926288</v>
      </c>
    </row>
    <row r="103" spans="1:4" x14ac:dyDescent="0.2">
      <c r="A103" s="2">
        <v>44774</v>
      </c>
      <c r="B103" s="10">
        <v>6260268.4090909092</v>
      </c>
      <c r="C103" s="13">
        <v>142.29272727272729</v>
      </c>
      <c r="D103" s="10">
        <v>61685889.656260788</v>
      </c>
    </row>
    <row r="104" spans="1:4" x14ac:dyDescent="0.2">
      <c r="A104" s="2">
        <v>44805</v>
      </c>
      <c r="B104" s="10">
        <v>6438593.8571428573</v>
      </c>
      <c r="C104" s="13">
        <v>150.4238095238095</v>
      </c>
      <c r="D104" s="10">
        <v>60013648.44531925</v>
      </c>
    </row>
    <row r="105" spans="1:4" x14ac:dyDescent="0.2">
      <c r="A105" s="2">
        <v>44835</v>
      </c>
      <c r="B105" s="10">
        <v>6685490.3157894732</v>
      </c>
      <c r="C105" s="13">
        <v>159.47263157894739</v>
      </c>
      <c r="D105" s="10">
        <v>58779066.593219757</v>
      </c>
    </row>
    <row r="106" spans="1:4" x14ac:dyDescent="0.2">
      <c r="A106" s="2">
        <v>44866</v>
      </c>
      <c r="B106" s="10">
        <v>7036925.333333333</v>
      </c>
      <c r="C106" s="13">
        <v>169.15285714285719</v>
      </c>
      <c r="D106" s="10">
        <v>58328282.302411161</v>
      </c>
    </row>
    <row r="107" spans="1:4" x14ac:dyDescent="0.2">
      <c r="A107" s="2">
        <v>44896</v>
      </c>
      <c r="B107" s="10">
        <v>7426444.2000000002</v>
      </c>
      <c r="C107" s="13">
        <v>179.98349999999999</v>
      </c>
      <c r="D107" s="10">
        <v>57852723.843762353</v>
      </c>
    </row>
    <row r="108" spans="1:4" x14ac:dyDescent="0.2">
      <c r="A108" s="2">
        <v>44927</v>
      </c>
      <c r="B108" s="10">
        <v>7659750.2727272715</v>
      </c>
      <c r="C108" s="13">
        <v>189.60772727272729</v>
      </c>
      <c r="D108" s="10">
        <v>56641423.609757461</v>
      </c>
    </row>
    <row r="109" spans="1:4" x14ac:dyDescent="0.2">
      <c r="A109" s="2">
        <v>44958</v>
      </c>
      <c r="B109" s="10">
        <v>7955182.777777778</v>
      </c>
      <c r="C109" s="13">
        <v>199.08944444444441</v>
      </c>
      <c r="D109" s="10">
        <v>56024438.145559929</v>
      </c>
    </row>
    <row r="110" spans="1:4" x14ac:dyDescent="0.2">
      <c r="A110" s="2">
        <v>44986</v>
      </c>
      <c r="B110" s="10">
        <v>8481039.2272727266</v>
      </c>
      <c r="C110" s="13">
        <v>210.34</v>
      </c>
      <c r="D110" s="10">
        <v>56533097.88498427</v>
      </c>
    </row>
    <row r="111" spans="1:4" x14ac:dyDescent="0.2">
      <c r="A111" s="2">
        <v>45017</v>
      </c>
      <c r="B111" s="10">
        <v>9284743.277777778</v>
      </c>
      <c r="C111" s="13">
        <v>223.62333333333331</v>
      </c>
      <c r="D111" s="10">
        <v>58214123.828444406</v>
      </c>
    </row>
    <row r="112" spans="1:4" x14ac:dyDescent="0.2">
      <c r="A112" s="2">
        <v>45047</v>
      </c>
      <c r="B112" s="10">
        <v>10083112.75</v>
      </c>
      <c r="C112" s="13">
        <v>241.49100000000001</v>
      </c>
      <c r="D112" s="10">
        <v>58542229.203302607</v>
      </c>
    </row>
    <row r="113" spans="1:4" x14ac:dyDescent="0.2">
      <c r="A113" s="2">
        <v>45078</v>
      </c>
      <c r="B113" s="10">
        <v>10721602.800000001</v>
      </c>
      <c r="C113" s="13">
        <v>260.95299999999997</v>
      </c>
      <c r="D113" s="10">
        <v>57606700.625205308</v>
      </c>
    </row>
    <row r="114" spans="1:4" x14ac:dyDescent="0.2">
      <c r="A114" s="2">
        <v>45108</v>
      </c>
      <c r="B114" s="10">
        <v>11394331.428571429</v>
      </c>
      <c r="C114" s="13">
        <v>279.59380952380951</v>
      </c>
      <c r="D114" s="10">
        <v>57139558.223995022</v>
      </c>
    </row>
    <row r="115" spans="1:4" x14ac:dyDescent="0.2">
      <c r="A115" s="2">
        <v>45139</v>
      </c>
      <c r="B115" s="10">
        <v>12471811.36363636</v>
      </c>
      <c r="C115" s="13">
        <v>337.29227272727269</v>
      </c>
      <c r="D115" s="10">
        <v>51844026.49262239</v>
      </c>
    </row>
    <row r="116" spans="1:4" x14ac:dyDescent="0.2">
      <c r="A116" s="2">
        <v>45170</v>
      </c>
      <c r="B116" s="10">
        <v>13394963.285714289</v>
      </c>
      <c r="C116" s="13">
        <v>366.8752380952381</v>
      </c>
      <c r="D116" s="10">
        <v>51191600.653703608</v>
      </c>
    </row>
    <row r="117" spans="1:4" x14ac:dyDescent="0.2">
      <c r="A117" s="2">
        <v>45200</v>
      </c>
      <c r="B117" s="10">
        <v>15077312.9</v>
      </c>
      <c r="C117" s="13">
        <v>367.42099999999999</v>
      </c>
      <c r="D117" s="10">
        <v>57535455.422112778</v>
      </c>
    </row>
    <row r="118" spans="1:4" x14ac:dyDescent="0.2">
      <c r="A118" s="2">
        <v>45231</v>
      </c>
      <c r="B118" s="10">
        <v>16161680.199999999</v>
      </c>
      <c r="C118" s="13">
        <v>371.6585</v>
      </c>
      <c r="D118" s="10">
        <v>60970256.377663359</v>
      </c>
    </row>
    <row r="119" spans="1:4" x14ac:dyDescent="0.2">
      <c r="A119" s="2">
        <v>45261</v>
      </c>
      <c r="B119" s="10">
        <v>18008499.52631579</v>
      </c>
      <c r="C119" s="13">
        <v>687.35736842105257</v>
      </c>
      <c r="D119" s="10">
        <v>36734194.252334774</v>
      </c>
    </row>
    <row r="120" spans="1:4" x14ac:dyDescent="0.2">
      <c r="A120" s="2">
        <v>45292</v>
      </c>
      <c r="B120" s="10">
        <v>18960537.63636364</v>
      </c>
      <c r="C120" s="13">
        <v>863.96181818181822</v>
      </c>
      <c r="D120" s="10">
        <v>30770296.435064051</v>
      </c>
    </row>
    <row r="121" spans="1:4" x14ac:dyDescent="0.2">
      <c r="A121" s="2">
        <v>45323</v>
      </c>
      <c r="B121" s="10">
        <v>21100162.052631579</v>
      </c>
      <c r="C121" s="13">
        <v>880.59842105263158</v>
      </c>
      <c r="D121" s="10">
        <v>33595682.668665573</v>
      </c>
    </row>
    <row r="122" spans="1:4" x14ac:dyDescent="0.2">
      <c r="A122" s="2">
        <v>45352</v>
      </c>
      <c r="B122" s="10">
        <v>22592292.210526321</v>
      </c>
      <c r="C122" s="13">
        <v>895.12736842105278</v>
      </c>
      <c r="D122" s="10">
        <v>35387594.559911378</v>
      </c>
    </row>
    <row r="123" spans="1:4" x14ac:dyDescent="0.2">
      <c r="A123" s="2">
        <v>45383</v>
      </c>
      <c r="B123" s="10">
        <v>25070313.800000001</v>
      </c>
      <c r="C123" s="13">
        <v>911.84649999999999</v>
      </c>
      <c r="D123" s="10">
        <v>38549044.390177727</v>
      </c>
    </row>
    <row r="124" spans="1:4" x14ac:dyDescent="0.2">
      <c r="A124" s="2">
        <v>45413</v>
      </c>
      <c r="B124" s="10">
        <v>28143847.90909091</v>
      </c>
      <c r="C124" s="13">
        <v>927.3649999999999</v>
      </c>
      <c r="D124" s="10">
        <v>42550861.387921013</v>
      </c>
    </row>
    <row r="125" spans="1:4" x14ac:dyDescent="0.2">
      <c r="A125" s="2">
        <v>45444</v>
      </c>
      <c r="B125" s="10">
        <v>31796856.529411759</v>
      </c>
      <c r="C125" s="13">
        <v>942.20352941176463</v>
      </c>
      <c r="D125" s="10">
        <v>47316764.778306231</v>
      </c>
    </row>
    <row r="126" spans="1:4" x14ac:dyDescent="0.2">
      <c r="A126" s="2">
        <v>45474</v>
      </c>
      <c r="B126" s="10">
        <v>36647804.81818182</v>
      </c>
      <c r="C126" s="13">
        <v>961.70954545454549</v>
      </c>
      <c r="D126" s="10">
        <v>53429316.837479942</v>
      </c>
    </row>
    <row r="127" spans="1:4" x14ac:dyDescent="0.2">
      <c r="A127" s="2">
        <v>45505</v>
      </c>
      <c r="B127" s="10">
        <v>41457277.227272727</v>
      </c>
      <c r="C127" s="13">
        <v>981.81636363636358</v>
      </c>
      <c r="D127" s="10">
        <v>59203324.087026604</v>
      </c>
    </row>
    <row r="128" spans="1:4" x14ac:dyDescent="0.2">
      <c r="A128" s="2">
        <v>45536</v>
      </c>
      <c r="B128" s="10">
        <v>46130618.952380963</v>
      </c>
      <c r="C128" s="13">
        <v>996.49380952380943</v>
      </c>
      <c r="D128" s="10">
        <v>64906809.031992763</v>
      </c>
    </row>
    <row r="129" spans="1:4" x14ac:dyDescent="0.2">
      <c r="A129" s="2">
        <v>45566</v>
      </c>
      <c r="B129" s="10">
        <v>51328265.227272727</v>
      </c>
      <c r="C129" s="13">
        <v>1013.200454545455</v>
      </c>
      <c r="D129" s="10">
        <v>71029178.620461211</v>
      </c>
    </row>
    <row r="130" spans="1:4" x14ac:dyDescent="0.2">
      <c r="A130" s="2">
        <v>45597</v>
      </c>
      <c r="B130" s="10">
        <v>56474774.368421063</v>
      </c>
      <c r="C130" s="13">
        <v>1030.782105263158</v>
      </c>
      <c r="D130" s="10">
        <v>76818038.958126679</v>
      </c>
    </row>
    <row r="131" spans="1:4" x14ac:dyDescent="0.2">
      <c r="A131" s="2">
        <v>45627</v>
      </c>
      <c r="B131" s="10">
        <v>61454655.052631579</v>
      </c>
      <c r="C131" s="13">
        <v>1049.3321052631579</v>
      </c>
      <c r="D131" s="10">
        <v>82114037.506248027</v>
      </c>
    </row>
    <row r="132" spans="1:4" x14ac:dyDescent="0.2">
      <c r="A132" s="2">
        <v>45658</v>
      </c>
      <c r="B132" s="10">
        <v>67298553.772727266</v>
      </c>
      <c r="C132" s="13">
        <v>1070.715454545455</v>
      </c>
      <c r="D132" s="10">
        <v>88126646.122528374</v>
      </c>
    </row>
    <row r="133" spans="1:4" x14ac:dyDescent="0.2">
      <c r="A133" s="2">
        <v>45689</v>
      </c>
      <c r="B133" s="10">
        <v>71925602.900000006</v>
      </c>
      <c r="C133" s="13">
        <v>1087.2885000000001</v>
      </c>
      <c r="D133" s="10">
        <v>92750081.183106512</v>
      </c>
    </row>
    <row r="134" spans="1:4" x14ac:dyDescent="0.2">
      <c r="A134" s="2">
        <v>45717</v>
      </c>
      <c r="B134" s="10">
        <v>76602349.111111104</v>
      </c>
      <c r="C134" s="13">
        <v>1098.771666666667</v>
      </c>
      <c r="D134" s="10">
        <v>97748526.214438245</v>
      </c>
    </row>
    <row r="135" spans="1:4" x14ac:dyDescent="0.2">
      <c r="A135" s="2">
        <v>45748</v>
      </c>
      <c r="B135" s="10">
        <v>82211961.052631572</v>
      </c>
      <c r="C135" s="13">
        <v>1151.4347368421049</v>
      </c>
      <c r="D135" s="10">
        <v>100108571.1348743</v>
      </c>
    </row>
    <row r="136" spans="1:4" x14ac:dyDescent="0.2">
      <c r="A136" s="2">
        <v>45778</v>
      </c>
      <c r="B136" s="10">
        <v>87281647.25</v>
      </c>
      <c r="C136" s="13">
        <v>1170.5195000000001</v>
      </c>
      <c r="D136" s="10">
        <v>104548995.13515601</v>
      </c>
    </row>
    <row r="137" spans="1:4" x14ac:dyDescent="0.2">
      <c r="A137" s="2">
        <v>45809</v>
      </c>
      <c r="B137" s="10">
        <v>91765307.789473683</v>
      </c>
      <c r="C137" s="13">
        <v>1198.463684210526</v>
      </c>
      <c r="D137" s="10">
        <v>107356718.7127499</v>
      </c>
    </row>
    <row r="138" spans="1:4" x14ac:dyDescent="0.2">
      <c r="A138" s="2">
        <v>45839</v>
      </c>
      <c r="B138" s="10">
        <v>97824561.954545453</v>
      </c>
      <c r="C138" s="13">
        <v>1287.5977272727271</v>
      </c>
      <c r="D138" s="10">
        <v>106522976.3466606</v>
      </c>
    </row>
    <row r="139" spans="1:4" x14ac:dyDescent="0.2">
      <c r="A139" s="2">
        <v>45870</v>
      </c>
      <c r="B139" s="10">
        <v>102448924</v>
      </c>
      <c r="C139" s="13">
        <v>1343.779</v>
      </c>
      <c r="D139" s="10">
        <v>106894444.25179739</v>
      </c>
    </row>
    <row r="140" spans="1:4" x14ac:dyDescent="0.2">
      <c r="A140" s="2">
        <v>45901</v>
      </c>
      <c r="B140" s="10">
        <v>105911570.8181818</v>
      </c>
      <c r="C140" s="13">
        <v>1423.6127272727269</v>
      </c>
      <c r="D140" s="10">
        <v>104310284.3716327</v>
      </c>
    </row>
    <row r="141" spans="1:4" x14ac:dyDescent="0.2">
      <c r="A141" s="2">
        <v>45931</v>
      </c>
      <c r="B141" s="10">
        <v>109894624.4545455</v>
      </c>
      <c r="C141" s="13">
        <v>1465.281363636363</v>
      </c>
      <c r="D141" s="10">
        <v>105155260.9148501</v>
      </c>
    </row>
    <row r="142" spans="1:4" x14ac:dyDescent="0.2">
      <c r="A142" s="2">
        <v>45962</v>
      </c>
      <c r="B142" s="10">
        <v>111200870.7647059</v>
      </c>
      <c r="C142" s="13">
        <v>1455.4529411764711</v>
      </c>
      <c r="D142" s="10">
        <v>107123709.2444829</v>
      </c>
    </row>
    <row r="143" spans="1:4" x14ac:dyDescent="0.2">
      <c r="A143" s="2">
        <v>45992</v>
      </c>
      <c r="B143" s="10">
        <v>114980186.68421049</v>
      </c>
      <c r="C143" s="13">
        <v>1471.594736842105</v>
      </c>
      <c r="D143" s="10">
        <v>109549491.3999379</v>
      </c>
    </row>
    <row r="144" spans="1:4" x14ac:dyDescent="0.2">
      <c r="A144" s="2">
        <v>46023</v>
      </c>
      <c r="B144" s="10">
        <v>118779059.6666667</v>
      </c>
      <c r="C144" s="13">
        <v>1469.9376190476189</v>
      </c>
      <c r="D144" s="10">
        <v>113296517.3698177</v>
      </c>
    </row>
    <row r="145" spans="1:5" x14ac:dyDescent="0.2">
      <c r="A145" s="2">
        <v>46054</v>
      </c>
      <c r="B145" s="10">
        <v>120062361.27777781</v>
      </c>
      <c r="C145" s="13">
        <v>1431.877777777778</v>
      </c>
      <c r="D145" s="10">
        <v>117564584.54355849</v>
      </c>
    </row>
    <row r="146" spans="1:5" x14ac:dyDescent="0.2">
      <c r="A146" s="2">
        <v>46082</v>
      </c>
      <c r="B146" s="10">
        <v>121776042.45</v>
      </c>
      <c r="C146" s="13">
        <v>1418.62</v>
      </c>
      <c r="D146" s="10">
        <v>120357001.58088709</v>
      </c>
      <c r="E146" s="22"/>
    </row>
    <row r="147" spans="1:5" x14ac:dyDescent="0.2">
      <c r="A147" s="2">
        <v>46113</v>
      </c>
      <c r="B147" s="10">
        <v>124126601</v>
      </c>
      <c r="C147" s="13">
        <v>1402.0889999999999</v>
      </c>
      <c r="D147" s="10">
        <v>124126601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B12"/>
  <sheetViews>
    <sheetView workbookViewId="0">
      <selection activeCell="E4" sqref="E4"/>
    </sheetView>
  </sheetViews>
  <sheetFormatPr baseColWidth="10" defaultColWidth="8.83203125" defaultRowHeight="15" x14ac:dyDescent="0.2"/>
  <cols>
    <col min="1" max="1" width="30" customWidth="1"/>
    <col min="2" max="2" width="100" customWidth="1"/>
  </cols>
  <sheetData>
    <row r="1" spans="1:2" ht="16" customHeight="1" x14ac:dyDescent="0.2">
      <c r="A1" s="1" t="s">
        <v>45</v>
      </c>
      <c r="B1" s="1" t="s">
        <v>46</v>
      </c>
    </row>
    <row r="2" spans="1:2" ht="46" customHeight="1" x14ac:dyDescent="0.2">
      <c r="A2" s="5" t="s">
        <v>47</v>
      </c>
      <c r="B2" s="4" t="s">
        <v>112</v>
      </c>
    </row>
    <row r="3" spans="1:2" ht="46" customHeight="1" x14ac:dyDescent="0.2">
      <c r="A3" s="28" t="s">
        <v>48</v>
      </c>
      <c r="B3" s="4" t="s">
        <v>113</v>
      </c>
    </row>
    <row r="4" spans="1:2" ht="46" customHeight="1" x14ac:dyDescent="0.2">
      <c r="A4" s="5" t="s">
        <v>49</v>
      </c>
      <c r="B4" s="4" t="s">
        <v>114</v>
      </c>
    </row>
    <row r="5" spans="1:2" ht="46" customHeight="1" x14ac:dyDescent="0.2">
      <c r="A5" s="5" t="s">
        <v>50</v>
      </c>
      <c r="B5" s="4" t="s">
        <v>51</v>
      </c>
    </row>
    <row r="6" spans="1:2" ht="85" customHeight="1" x14ac:dyDescent="0.2">
      <c r="A6" s="5" t="s">
        <v>52</v>
      </c>
      <c r="B6" s="4" t="s">
        <v>53</v>
      </c>
    </row>
    <row r="7" spans="1:2" ht="46" customHeight="1" x14ac:dyDescent="0.2">
      <c r="A7" s="5" t="s">
        <v>54</v>
      </c>
      <c r="B7" s="4" t="s">
        <v>55</v>
      </c>
    </row>
    <row r="8" spans="1:2" ht="46" customHeight="1" x14ac:dyDescent="0.2">
      <c r="A8" s="5" t="s">
        <v>56</v>
      </c>
      <c r="B8" s="4" t="s">
        <v>111</v>
      </c>
    </row>
    <row r="9" spans="1:2" ht="46" customHeight="1" x14ac:dyDescent="0.2">
      <c r="A9" s="5" t="s">
        <v>57</v>
      </c>
      <c r="B9" s="4" t="s">
        <v>58</v>
      </c>
    </row>
    <row r="10" spans="1:2" ht="46" customHeight="1" x14ac:dyDescent="0.2">
      <c r="A10" s="19" t="s">
        <v>59</v>
      </c>
      <c r="B10" s="20" t="s">
        <v>60</v>
      </c>
    </row>
    <row r="11" spans="1:2" ht="46" customHeight="1" x14ac:dyDescent="0.2">
      <c r="A11" s="21" t="s">
        <v>61</v>
      </c>
      <c r="B11" s="20" t="s">
        <v>62</v>
      </c>
    </row>
    <row r="12" spans="1:2" ht="46" customHeight="1" x14ac:dyDescent="0.2">
      <c r="A12" s="19" t="s">
        <v>63</v>
      </c>
      <c r="B12" s="20" t="s">
        <v>64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F8"/>
  <sheetViews>
    <sheetView workbookViewId="0">
      <selection activeCell="F11" sqref="F11"/>
    </sheetView>
  </sheetViews>
  <sheetFormatPr baseColWidth="10" defaultColWidth="8.83203125" defaultRowHeight="15" x14ac:dyDescent="0.2"/>
  <cols>
    <col min="1" max="1" width="28" customWidth="1"/>
    <col min="2" max="2" width="35" customWidth="1"/>
    <col min="3" max="3" width="50" customWidth="1"/>
    <col min="4" max="4" width="60" customWidth="1"/>
    <col min="5" max="5" width="14" customWidth="1"/>
    <col min="6" max="6" width="30" customWidth="1"/>
  </cols>
  <sheetData>
    <row r="1" spans="1:6" ht="16" customHeight="1" x14ac:dyDescent="0.2">
      <c r="A1" s="1" t="s">
        <v>65</v>
      </c>
      <c r="B1" s="1" t="s">
        <v>66</v>
      </c>
      <c r="C1" s="1" t="s">
        <v>67</v>
      </c>
      <c r="D1" s="1" t="s">
        <v>68</v>
      </c>
      <c r="E1" s="1" t="s">
        <v>69</v>
      </c>
      <c r="F1" s="1" t="s">
        <v>70</v>
      </c>
    </row>
    <row r="2" spans="1:6" ht="39" customHeight="1" x14ac:dyDescent="0.2">
      <c r="A2" s="4" t="s">
        <v>71</v>
      </c>
      <c r="B2" s="4" t="s">
        <v>72</v>
      </c>
      <c r="C2" s="4" t="s">
        <v>73</v>
      </c>
      <c r="D2" s="18" t="s">
        <v>74</v>
      </c>
      <c r="E2" s="4" t="s">
        <v>75</v>
      </c>
      <c r="F2" s="4" t="s">
        <v>76</v>
      </c>
    </row>
    <row r="3" spans="1:6" ht="32" customHeight="1" x14ac:dyDescent="0.2">
      <c r="A3" s="4" t="s">
        <v>77</v>
      </c>
      <c r="B3" s="4" t="s">
        <v>78</v>
      </c>
      <c r="C3" s="4" t="s">
        <v>79</v>
      </c>
      <c r="D3" s="18" t="s">
        <v>80</v>
      </c>
      <c r="E3" s="4" t="s">
        <v>81</v>
      </c>
      <c r="F3" s="4" t="s">
        <v>82</v>
      </c>
    </row>
    <row r="4" spans="1:6" ht="32" customHeight="1" x14ac:dyDescent="0.2">
      <c r="A4" s="4" t="s">
        <v>83</v>
      </c>
      <c r="B4" s="4" t="s">
        <v>78</v>
      </c>
      <c r="C4" s="4" t="s">
        <v>84</v>
      </c>
      <c r="D4" s="18" t="s">
        <v>85</v>
      </c>
      <c r="E4" s="4" t="s">
        <v>81</v>
      </c>
      <c r="F4" s="4" t="s">
        <v>82</v>
      </c>
    </row>
    <row r="5" spans="1:6" ht="32" customHeight="1" x14ac:dyDescent="0.2">
      <c r="A5" s="4" t="s">
        <v>86</v>
      </c>
      <c r="B5" s="4" t="s">
        <v>87</v>
      </c>
      <c r="C5" s="4" t="s">
        <v>88</v>
      </c>
      <c r="D5" s="18" t="s">
        <v>89</v>
      </c>
      <c r="E5" s="4" t="s">
        <v>75</v>
      </c>
      <c r="F5" s="4" t="s">
        <v>90</v>
      </c>
    </row>
    <row r="6" spans="1:6" ht="32" customHeight="1" x14ac:dyDescent="0.2">
      <c r="A6" s="4" t="s">
        <v>52</v>
      </c>
      <c r="B6" s="4" t="s">
        <v>91</v>
      </c>
      <c r="C6" s="4" t="s">
        <v>92</v>
      </c>
      <c r="D6" s="18" t="s">
        <v>93</v>
      </c>
      <c r="E6" s="4" t="s">
        <v>94</v>
      </c>
      <c r="F6" s="4" t="s">
        <v>95</v>
      </c>
    </row>
    <row r="7" spans="1:6" ht="48" customHeight="1" x14ac:dyDescent="0.2">
      <c r="A7" s="4" t="s">
        <v>96</v>
      </c>
      <c r="B7" s="4" t="s">
        <v>97</v>
      </c>
      <c r="C7" s="4" t="s">
        <v>98</v>
      </c>
      <c r="D7" s="18" t="s">
        <v>99</v>
      </c>
      <c r="E7" s="4" t="s">
        <v>94</v>
      </c>
      <c r="F7" s="4" t="s">
        <v>100</v>
      </c>
    </row>
    <row r="8" spans="1:6" ht="28" customHeight="1" x14ac:dyDescent="0.2">
      <c r="A8" s="4" t="s">
        <v>101</v>
      </c>
      <c r="B8" s="4" t="s">
        <v>102</v>
      </c>
      <c r="C8" s="4" t="s">
        <v>103</v>
      </c>
      <c r="D8" s="18" t="s">
        <v>104</v>
      </c>
      <c r="E8" s="4" t="s">
        <v>81</v>
      </c>
      <c r="F8" s="4" t="s">
        <v>105</v>
      </c>
    </row>
  </sheetData>
  <hyperlinks>
    <hyperlink ref="D2" r:id="rId1" xr:uid="{00000000-0004-0000-0600-000000000000}"/>
    <hyperlink ref="D3" r:id="rId2" xr:uid="{00000000-0004-0000-0600-000001000000}"/>
    <hyperlink ref="D4" r:id="rId3" xr:uid="{00000000-0004-0000-0600-000002000000}"/>
    <hyperlink ref="D5" r:id="rId4" xr:uid="{00000000-0004-0000-0600-000003000000}"/>
    <hyperlink ref="D6" r:id="rId5" xr:uid="{00000000-0004-0000-0600-000004000000}"/>
    <hyperlink ref="D7" r:id="rId6" xr:uid="{00000000-0004-0000-0600-000005000000}"/>
    <hyperlink ref="D8" r:id="rId7" xr:uid="{00000000-0004-0000-0600-000006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Irregularidad BCRA</vt:lpstr>
      <vt:lpstr>Irregularidad agregada</vt:lpstr>
      <vt:lpstr>EMAE</vt:lpstr>
      <vt:lpstr>Crédito total-PIB</vt:lpstr>
      <vt:lpstr>Crédito total real</vt:lpstr>
      <vt:lpstr>Definiciones</vt:lpstr>
      <vt:lpstr>Fuentes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Ignacio Robles Urquiza</cp:lastModifiedBy>
  <dcterms:created xsi:type="dcterms:W3CDTF">2026-04-17T18:49:10Z</dcterms:created>
  <dcterms:modified xsi:type="dcterms:W3CDTF">2026-04-20T18:43:28Z</dcterms:modified>
</cp:coreProperties>
</file>